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5.xml" ContentType="application/vnd.openxmlformats-officedocument.drawing+xml"/>
  <Override PartName="/xl/drawings/drawing6.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xl/worksheets/sheet6.xml" ContentType="application/vnd.openxmlformats-officedocument.spreadsheetml.worksheet+xml"/>
  <Override PartName="/xl/drawings/drawing1.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activeX/activeX1.bin" ContentType="application/vnd.ms-office.activeX"/>
  <Override PartName="/xl/activeX/activeX2.xml" ContentType="application/vnd.ms-office.activeX+xml"/>
  <Override PartName="/xl/activeX/activeX2.bin" ContentType="application/vnd.ms-office.activeX"/>
  <Override PartName="/xl/activeX/activeX40.bin" ContentType="application/vnd.ms-office.activeX"/>
  <Override PartName="/docProps/custom.xml" ContentType="application/vnd.openxmlformats-officedocument.custom-properties+xml"/>
  <Override PartName="/docProps/app.xml" ContentType="application/vnd.openxmlformats-officedocument.extended-properties+xml"/>
  <Override PartName="/xl/activeX/activeX1.xml" ContentType="application/vnd.ms-office.activeX+xml"/>
  <Override PartName="/xl/customProperty1.bin" ContentType="application/vnd.openxmlformats-officedocument.spreadsheetml.customProperty"/>
  <Override PartName="/xl/calcChain.xml" ContentType="application/vnd.openxmlformats-officedocument.spreadsheetml.calcChain+xml"/>
  <Override PartName="/xl/activeX/activeX3.xml" ContentType="application/vnd.ms-office.activeX+xml"/>
  <Override PartName="/xl/activeX/activeX338.xml" ContentType="application/vnd.ms-office.activeX+xml"/>
  <Override PartName="/xl/activeX/activeX338.bin" ContentType="application/vnd.ms-office.activeX"/>
  <Override PartName="/xl/activeX/activeX6.xml" ContentType="application/vnd.ms-office.activeX+xml"/>
  <Override PartName="/xl/activeX/activeX339.xml" ContentType="application/vnd.ms-office.activeX+xml"/>
  <Override PartName="/xl/activeX/activeX339.bin" ContentType="application/vnd.ms-office.activeX"/>
  <Override PartName="/xl/activeX/activeX5.bin" ContentType="application/vnd.ms-office.activeX"/>
  <Override PartName="/xl/activeX/activeX6.bin" ContentType="application/vnd.ms-office.activeX"/>
  <Override PartName="/xl/activeX/activeX337.bin" ContentType="application/vnd.ms-office.activeX"/>
  <Override PartName="/xl/activeX/activeX337.xml" ContentType="application/vnd.ms-office.activeX+xml"/>
  <Override PartName="/xl/activeX/activeX335.bin" ContentType="application/vnd.ms-office.activeX"/>
  <Override PartName="/xl/activeX/activeX7.bin" ContentType="application/vnd.ms-office.activeX"/>
  <Override PartName="/xl/activeX/activeX336.xml" ContentType="application/vnd.ms-office.activeX+xml"/>
  <Override PartName="/xl/activeX/activeX336.bin" ContentType="application/vnd.ms-office.activeX"/>
  <Override PartName="/xl/activeX/activeX7.xml" ContentType="application/vnd.ms-office.activeX+xml"/>
  <Override PartName="/xl/activeX/activeX340.xml" ContentType="application/vnd.ms-office.activeX+xml"/>
  <Override PartName="/xl/activeX/activeX340.bin" ContentType="application/vnd.ms-office.activeX"/>
  <Override PartName="/xl/activeX/activeX5.xml" ContentType="application/vnd.ms-office.activeX+xml"/>
  <Override PartName="/xl/activeX/activeX3.bin" ContentType="application/vnd.ms-office.activeX"/>
  <Override PartName="/xl/customProperty9.bin" ContentType="application/vnd.openxmlformats-officedocument.spreadsheetml.customProperty"/>
  <Override PartName="/xl/customProperty10.bin" ContentType="application/vnd.openxmlformats-officedocument.spreadsheetml.customProperty"/>
  <Override PartName="/xl/activeX/activeX343.bin" ContentType="application/vnd.ms-office.activeX"/>
  <Override PartName="/xl/activeX/activeX343.xml" ContentType="application/vnd.ms-office.activeX+xml"/>
  <Override PartName="/xl/activeX/activeX4.xml" ContentType="application/vnd.ms-office.activeX+xml"/>
  <Override PartName="/xl/activeX/activeX341.xml" ContentType="application/vnd.ms-office.activeX+xml"/>
  <Override PartName="/xl/activeX/activeX341.bin" ContentType="application/vnd.ms-office.activeX"/>
  <Override PartName="/xl/activeX/activeX4.bin" ContentType="application/vnd.ms-office.activeX"/>
  <Override PartName="/xl/activeX/activeX342.xml" ContentType="application/vnd.ms-office.activeX+xml"/>
  <Override PartName="/xl/activeX/activeX342.bin" ContentType="application/vnd.ms-office.activeX"/>
  <Override PartName="/docProps/core.xml" ContentType="application/vnd.openxmlformats-package.core-properties+xml"/>
  <Override PartName="/xl/activeX/activeX335.xml" ContentType="application/vnd.ms-office.activeX+xml"/>
  <Override PartName="/xl/activeX/activeX333.bin" ContentType="application/vnd.ms-office.activeX"/>
  <Override PartName="/xl/activeX/activeX334.bin" ContentType="application/vnd.ms-office.activeX"/>
  <Override PartName="/xl/activeX/activeX22.xml" ContentType="application/vnd.ms-office.activeX+xml"/>
  <Override PartName="/xl/activeX/activeX305.xml" ContentType="application/vnd.ms-office.activeX+xml"/>
  <Override PartName="/xl/activeX/activeX305.bin" ContentType="application/vnd.ms-office.activeX"/>
  <Override PartName="/xl/activeX/activeX21.bin" ContentType="application/vnd.ms-office.activeX"/>
  <Override PartName="/xl/activeX/activeX306.xml" ContentType="application/vnd.ms-office.activeX+xml"/>
  <Override PartName="/xl/activeX/activeX306.bin" ContentType="application/vnd.ms-office.activeX"/>
  <Override PartName="/xl/activeX/activeX304.bin" ContentType="application/vnd.ms-office.activeX"/>
  <Override PartName="/xl/activeX/activeX304.xml" ContentType="application/vnd.ms-office.activeX+xml"/>
  <Override PartName="/xl/activeX/activeX22.bin" ContentType="application/vnd.ms-office.activeX"/>
  <Override PartName="/xl/activeX/activeX23.xml" ContentType="application/vnd.ms-office.activeX+xml"/>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21.xml" ContentType="application/vnd.ms-office.activeX+xml"/>
  <Override PartName="/xl/activeX/activeX307.xml" ContentType="application/vnd.ms-office.activeX+xml"/>
  <Override PartName="/xl/activeX/activeX307.bin" ContentType="application/vnd.ms-office.activeX"/>
  <Override PartName="/xl/activeX/activeX310.bin" ContentType="application/vnd.ms-office.activeX"/>
  <Override PartName="/xl/activeX/activeX19.xml" ContentType="application/vnd.ms-office.activeX+xml"/>
  <Override PartName="/xl/activeX/activeX311.xml" ContentType="application/vnd.ms-office.activeX+xml"/>
  <Override PartName="/xl/activeX/activeX311.bin" ContentType="application/vnd.ms-office.activeX"/>
  <Override PartName="/xl/activeX/activeX18.bin" ContentType="application/vnd.ms-office.activeX"/>
  <Override PartName="/xl/activeX/activeX310.xml" ContentType="application/vnd.ms-office.activeX+xml"/>
  <Override PartName="/xl/activeX/activeX19.bin" ContentType="application/vnd.ms-office.activeX"/>
  <Override PartName="/xl/activeX/activeX309.bin" ContentType="application/vnd.ms-office.activeX"/>
  <Override PartName="/xl/activeX/activeX20.bin" ContentType="application/vnd.ms-office.activeX"/>
  <Override PartName="/xl/activeX/activeX308.xml" ContentType="application/vnd.ms-office.activeX+xml"/>
  <Override PartName="/xl/activeX/activeX308.bin" ContentType="application/vnd.ms-office.activeX"/>
  <Override PartName="/xl/activeX/activeX20.xml" ContentType="application/vnd.ms-office.activeX+xml"/>
  <Override PartName="/xl/activeX/activeX309.xml" ContentType="application/vnd.ms-office.activeX+xml"/>
  <Override PartName="/xl/activeX/activeX301.bin" ContentType="application/vnd.ms-office.activeX"/>
  <Override PartName="/xl/activeX/activeX301.xml" ContentType="application/vnd.ms-office.activeX+xml"/>
  <Override PartName="/xl/activeX/activeX23.bin" ContentType="application/vnd.ms-office.activeX"/>
  <Override PartName="/xl/activeX/activeX293.bin" ContentType="application/vnd.ms-office.activeX"/>
  <Override PartName="/xl/activeX/activeX27.xml" ContentType="application/vnd.ms-office.activeX+xml"/>
  <Override PartName="/xl/activeX/activeX294.xml" ContentType="application/vnd.ms-office.activeX+xml"/>
  <Override PartName="/xl/activeX/activeX294.bin" ContentType="application/vnd.ms-office.activeX"/>
  <Override PartName="/xl/activeX/activeX26.bin" ContentType="application/vnd.ms-office.activeX"/>
  <Override PartName="/xl/activeX/activeX295.xml" ContentType="application/vnd.ms-office.activeX+xml"/>
  <Override PartName="/xl/activeX/activeX293.xml" ContentType="application/vnd.ms-office.activeX+xml"/>
  <Override PartName="/xl/activeX/activeX27.bin" ContentType="application/vnd.ms-office.activeX"/>
  <Override PartName="/xl/activeX/activeX292.bin" ContentType="application/vnd.ms-office.activeX"/>
  <Override PartName="/xl/activeX/activeX28.bin" ContentType="application/vnd.ms-office.activeX"/>
  <Override PartName="/xl/activeX/activeX291.xml" ContentType="application/vnd.ms-office.activeX+xml"/>
  <Override PartName="/xl/activeX/activeX291.bin" ContentType="application/vnd.ms-office.activeX"/>
  <Override PartName="/xl/activeX/activeX28.xml" ContentType="application/vnd.ms-office.activeX+xml"/>
  <Override PartName="/xl/activeX/activeX292.xml" ContentType="application/vnd.ms-office.activeX+xml"/>
  <Override PartName="/xl/activeX/activeX295.bin" ContentType="application/vnd.ms-office.activeX"/>
  <Override PartName="/xl/activeX/activeX26.xml" ContentType="application/vnd.ms-office.activeX+xml"/>
  <Override PartName="/xl/activeX/activeX296.xml" ContentType="application/vnd.ms-office.activeX+xml"/>
  <Override PartName="/xl/activeX/activeX299.xml" ContentType="application/vnd.ms-office.activeX+xml"/>
  <Override PartName="/xl/activeX/activeX299.bin" ContentType="application/vnd.ms-office.activeX"/>
  <Override PartName="/xl/activeX/activeX24.xml" ContentType="application/vnd.ms-office.activeX+xml"/>
  <Override PartName="/xl/activeX/activeX300.xml" ContentType="application/vnd.ms-office.activeX+xml"/>
  <Override PartName="/xl/activeX/activeX300.bin" ContentType="application/vnd.ms-office.activeX"/>
  <Override PartName="/xl/activeX/activeX24.bin" ContentType="application/vnd.ms-office.activeX"/>
  <Override PartName="/xl/activeX/activeX298.bin" ContentType="application/vnd.ms-office.activeX"/>
  <Override PartName="/xl/activeX/activeX298.xml" ContentType="application/vnd.ms-office.activeX+xml"/>
  <Override PartName="/xl/activeX/activeX296.bin" ContentType="application/vnd.ms-office.activeX"/>
  <Override PartName="/xl/activeX/activeX25.bin" ContentType="application/vnd.ms-office.activeX"/>
  <Override PartName="/xl/activeX/activeX297.xml" ContentType="application/vnd.ms-office.activeX+xml"/>
  <Override PartName="/xl/activeX/activeX297.bin" ContentType="application/vnd.ms-office.activeX"/>
  <Override PartName="/xl/activeX/activeX25.xml" ContentType="application/vnd.ms-office.activeX+xml"/>
  <Override PartName="/xl/activeX/activeX312.xml" ContentType="application/vnd.ms-office.activeX+xml"/>
  <Override PartName="/xl/activeX/activeX312.bin" ContentType="application/vnd.ms-office.activeX"/>
  <Override PartName="/xl/activeX/activeX18.xml" ContentType="application/vnd.ms-office.activeX+xml"/>
  <Override PartName="/xl/activeX/activeX11.bin" ContentType="application/vnd.ms-office.activeX"/>
  <Override PartName="/xl/activeX/activeX327.xml" ContentType="application/vnd.ms-office.activeX+xml"/>
  <Override PartName="/xl/activeX/activeX327.bin" ContentType="application/vnd.ms-office.activeX"/>
  <Override PartName="/xl/activeX/activeX11.xml" ContentType="application/vnd.ms-office.activeX+xml"/>
  <Override PartName="/xl/activeX/activeX328.xml" ContentType="application/vnd.ms-office.activeX+xml"/>
  <Override PartName="/xl/activeX/activeX328.bin" ContentType="application/vnd.ms-office.activeX"/>
  <Override PartName="/xl/activeX/activeX326.bin" ContentType="application/vnd.ms-office.activeX"/>
  <Override PartName="/xl/activeX/activeX326.xml" ContentType="application/vnd.ms-office.activeX+xml"/>
  <Override PartName="/xl/activeX/activeX12.xml" ContentType="application/vnd.ms-office.activeX+xml"/>
  <Override PartName="/xl/activeX/activeX324.xml" ContentType="application/vnd.ms-office.activeX+xml"/>
  <Override PartName="/xl/activeX/activeX324.bin" ContentType="application/vnd.ms-office.activeX"/>
  <Override PartName="/xl/activeX/activeX12.bin" ContentType="application/vnd.ms-office.activeX"/>
  <Override PartName="/xl/activeX/activeX325.xml" ContentType="application/vnd.ms-office.activeX+xml"/>
  <Override PartName="/xl/activeX/activeX325.bin" ContentType="application/vnd.ms-office.activeX"/>
  <Override PartName="/xl/activeX/activeX329.xml" ContentType="application/vnd.ms-office.activeX+xml"/>
  <Override PartName="/xl/activeX/activeX329.bin" ContentType="application/vnd.ms-office.activeX"/>
  <Override PartName="/xl/activeX/activeX10.bin" ContentType="application/vnd.ms-office.activeX"/>
  <Override PartName="/xl/activeX/activeX9.xml" ContentType="application/vnd.ms-office.activeX+xml"/>
  <Override PartName="/xl/activeX/activeX333.xml" ContentType="application/vnd.ms-office.activeX+xml"/>
  <Override PartName="/xl/activeX/activeX8.bin" ContentType="application/vnd.ms-office.activeX"/>
  <Override PartName="/xl/activeX/activeX334.xml" ContentType="application/vnd.ms-office.activeX+xml"/>
  <Override PartName="/xl/activeX/activeX332.bin" ContentType="application/vnd.ms-office.activeX"/>
  <Override PartName="/xl/activeX/activeX332.xml" ContentType="application/vnd.ms-office.activeX+xml"/>
  <Override PartName="/xl/activeX/activeX9.bin" ContentType="application/vnd.ms-office.activeX"/>
  <Override PartName="/xl/activeX/activeX330.xml" ContentType="application/vnd.ms-office.activeX+xml"/>
  <Override PartName="/xl/activeX/activeX330.bin" ContentType="application/vnd.ms-office.activeX"/>
  <Override PartName="/xl/activeX/activeX10.xml" ContentType="application/vnd.ms-office.activeX+xml"/>
  <Override PartName="/xl/activeX/activeX331.xml" ContentType="application/vnd.ms-office.activeX+xml"/>
  <Override PartName="/xl/activeX/activeX331.bin" ContentType="application/vnd.ms-office.activeX"/>
  <Override PartName="/xl/activeX/activeX13.xml" ContentType="application/vnd.ms-office.activeX+xml"/>
  <Override PartName="/xl/activeX/activeX323.bin" ContentType="application/vnd.ms-office.activeX"/>
  <Override PartName="/xl/activeX/activeX323.xml" ContentType="application/vnd.ms-office.activeX+xml"/>
  <Override PartName="/xl/activeX/activeX16.bin" ContentType="application/vnd.ms-office.activeX"/>
  <Override PartName="/xl/activeX/activeX316.xml" ContentType="application/vnd.ms-office.activeX+xml"/>
  <Override PartName="/xl/activeX/activeX316.bin" ContentType="application/vnd.ms-office.activeX"/>
  <Override PartName="/xl/activeX/activeX16.xml" ContentType="application/vnd.ms-office.activeX+xml"/>
  <Override PartName="/xl/activeX/activeX317.xml" ContentType="application/vnd.ms-office.activeX+xml"/>
  <Override PartName="/xl/activeX/activeX315.bin" ContentType="application/vnd.ms-office.activeX"/>
  <Override PartName="/xl/activeX/activeX315.xml" ContentType="application/vnd.ms-office.activeX+xml"/>
  <Override PartName="/xl/activeX/activeX17.xml" ContentType="application/vnd.ms-office.activeX+xml"/>
  <Override PartName="/xl/activeX/activeX313.xml" ContentType="application/vnd.ms-office.activeX+xml"/>
  <Override PartName="/xl/activeX/activeX313.bin" ContentType="application/vnd.ms-office.activeX"/>
  <Override PartName="/xl/activeX/activeX17.bin" ContentType="application/vnd.ms-office.activeX"/>
  <Override PartName="/xl/activeX/activeX314.xml" ContentType="application/vnd.ms-office.activeX+xml"/>
  <Override PartName="/xl/activeX/activeX314.bin" ContentType="application/vnd.ms-office.activeX"/>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21.bin" ContentType="application/vnd.ms-office.activeX"/>
  <Override PartName="/xl/activeX/activeX14.xml" ContentType="application/vnd.ms-office.activeX+xml"/>
  <Override PartName="/xl/activeX/activeX322.xml" ContentType="application/vnd.ms-office.activeX+xml"/>
  <Override PartName="/xl/activeX/activeX322.bin" ContentType="application/vnd.ms-office.activeX"/>
  <Override PartName="/xl/activeX/activeX13.bin" ContentType="application/vnd.ms-office.activeX"/>
  <Override PartName="/xl/activeX/activeX321.xml" ContentType="application/vnd.ms-office.activeX+xml"/>
  <Override PartName="/xl/activeX/activeX14.bin" ContentType="application/vnd.ms-office.activeX"/>
  <Override PartName="/xl/activeX/activeX320.bin" ContentType="application/vnd.ms-office.activeX"/>
  <Override PartName="/xl/activeX/activeX15.bin" ContentType="application/vnd.ms-office.activeX"/>
  <Override PartName="/xl/activeX/activeX319.xml" ContentType="application/vnd.ms-office.activeX+xml"/>
  <Override PartName="/xl/activeX/activeX319.bin" ContentType="application/vnd.ms-office.activeX"/>
  <Override PartName="/xl/activeX/activeX15.xml" ContentType="application/vnd.ms-office.activeX+xml"/>
  <Override PartName="/xl/activeX/activeX320.xml" ContentType="application/vnd.ms-office.activeX+xml"/>
  <Override PartName="/xl/activeX/activeX8.xml" ContentType="application/vnd.ms-office.activeX+xml"/>
  <Override PartName="/xl/externalLinks/externalLink1.xml" ContentType="application/vnd.openxmlformats-officedocument.spreadsheetml.externalLink+xml"/>
  <Override PartName="/xl/activeX/activeX290.bin" ContentType="application/vnd.ms-office.activeX"/>
  <Override PartName="/xl/activeX/activeX290.xml" ContentType="application/vnd.ms-office.activeX+xml"/>
  <Override PartName="/xl/activeX/activeX29.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5.xml" ContentType="application/vnd.ms-office.activeX+xml"/>
  <Override PartName="/xl/activeX/activeX124.bin" ContentType="application/vnd.ms-office.activeX"/>
  <Override PartName="/xl/activeX/activeX124.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3.bin" ContentType="application/vnd.ms-office.activeX"/>
  <Override PartName="/xl/activeX/activeX133.xml" ContentType="application/vnd.ms-office.activeX+xml"/>
  <Override PartName="/xl/activeX/activeX132.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21.xml" ContentType="application/vnd.ms-office.activeX+xml"/>
  <Override PartName="/xl/activeX/activeX120.bin" ContentType="application/vnd.ms-office.activeX"/>
  <Override PartName="/xl/activeX/activeX120.xml" ContentType="application/vnd.ms-office.activeX+xml"/>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08.bin" ContentType="application/vnd.ms-office.activeX"/>
  <Override PartName="/xl/activeX/activeX108.xml" ContentType="application/vnd.ms-office.activeX+xml"/>
  <Override PartName="/xl/activeX/activeX107.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17.xml" ContentType="application/vnd.ms-office.activeX+xml"/>
  <Override PartName="/xl/activeX/activeX116.bin" ContentType="application/vnd.ms-office.activeX"/>
  <Override PartName="/xl/activeX/activeX116.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56.bin" ContentType="application/vnd.ms-office.activeX"/>
  <Override PartName="/xl/activeX/activeX156.xml" ContentType="application/vnd.ms-office.activeX+xml"/>
  <Override PartName="/xl/activeX/activeX37.xml" ContentType="application/vnd.ms-office.activeX+xml"/>
  <Override PartName="/xl/activeX/activeX155.xml" ContentType="application/vnd.ms-office.activeX+xml"/>
  <Override PartName="/xl/activeX/activeX155.bin" ContentType="application/vnd.ms-office.activeX"/>
  <Override PartName="/xl/customProperty3.bin" ContentType="application/vnd.openxmlformats-officedocument.spreadsheetml.customProperty"/>
  <Override PartName="/xl/activeX/activeX37.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5.xml" ContentType="application/vnd.ms-office.activeX+xml"/>
  <Override PartName="/xl/activeX/activeX164.bin" ContentType="application/vnd.ms-office.activeX"/>
  <Override PartName="/xl/activeX/activeX164.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54.bin" ContentType="application/vnd.ms-office.activeX"/>
  <Override PartName="/xl/activeX/activeX154.xml" ContentType="application/vnd.ms-office.activeX+xml"/>
  <Override PartName="/xl/activeX/activeX153.bin" ContentType="application/vnd.ms-office.activeX"/>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2.xml" ContentType="application/vnd.ms-office.activeX+xml"/>
  <Override PartName="/xl/activeX/activeX141.bin" ContentType="application/vnd.ms-office.activeX"/>
  <Override PartName="/xl/activeX/activeX141.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0.bin" ContentType="application/vnd.ms-office.activeX"/>
  <Override PartName="/xl/activeX/activeX150.xml" ContentType="application/vnd.ms-office.activeX+xml"/>
  <Override PartName="/xl/activeX/activeX149.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04.bin" ContentType="application/vnd.ms-office.activeX"/>
  <Override PartName="/xl/activeX/activeX104.xml" ContentType="application/vnd.ms-office.activeX+xml"/>
  <Override PartName="/xl/activeX/activeX103.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0.bin" ContentType="application/vnd.ms-office.activeX"/>
  <Override PartName="/xl/activeX/activeX60.xml" ContentType="application/vnd.ms-office.activeX+xml"/>
  <Override PartName="/xl/activeX/activeX59.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69.xml" ContentType="application/vnd.ms-office.activeX+xml"/>
  <Override PartName="/xl/activeX/activeX68.bin" ContentType="application/vnd.ms-office.activeX"/>
  <Override PartName="/xl/activeX/activeX68.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56.bin" ContentType="application/vnd.ms-office.activeX"/>
  <Override PartName="/xl/activeX/activeX56.xml" ContentType="application/vnd.ms-office.activeX+xml"/>
  <Override PartName="/xl/activeX/activeX55.bin" ContentType="application/vnd.ms-office.activeX"/>
  <Override PartName="/xl/activeX/activeX39.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4.bin" ContentType="application/vnd.ms-office.activeX"/>
  <Override PartName="/xl/activeX/activeX44.xml" ContentType="application/vnd.ms-office.activeX+xml"/>
  <Override PartName="/xl/activeX/activeX43.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2.bin" ContentType="application/vnd.ms-office.activeX"/>
  <Override PartName="/xl/activeX/activeX52.xml" ContentType="application/vnd.ms-office.activeX+xml"/>
  <Override PartName="/xl/activeX/activeX51.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94.xml" ContentType="application/vnd.ms-office.activeX+xml"/>
  <Override PartName="/xl/activeX/activeX94.bin" ContentType="application/vnd.ms-office.activeX"/>
  <Override PartName="/xl/customProperty2.bin" ContentType="application/vnd.openxmlformats-officedocument.spreadsheetml.customProperty"/>
  <Override PartName="/xl/activeX/activeX38.bin" ContentType="application/vnd.ms-office.activeX"/>
  <Override PartName="/xl/activeX/activeX38.xml" ContentType="application/vnd.ms-office.activeX+xml"/>
  <Override PartName="/xl/activeX/activeX93.bin" ContentType="application/vnd.ms-office.activeX"/>
  <Override PartName="/xl/activeX/activeX93.xml" ContentType="application/vnd.ms-office.activeX+xml"/>
  <Override PartName="/xl/activeX/activeX39.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0.xml" ContentType="application/vnd.ms-office.activeX+xml"/>
  <Override PartName="/xl/activeX/activeX99.bin" ContentType="application/vnd.ms-office.activeX"/>
  <Override PartName="/xl/activeX/activeX99.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0.xml" ContentType="application/vnd.ms-office.activeX+xml"/>
  <Override PartName="/xl/activeX/activeX89.bin" ContentType="application/vnd.ms-office.activeX"/>
  <Override PartName="/xl/activeX/activeX89.xml" ContentType="application/vnd.ms-office.activeX+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77.bin" ContentType="application/vnd.ms-office.activeX"/>
  <Override PartName="/xl/activeX/activeX77.xml" ContentType="application/vnd.ms-office.activeX+xml"/>
  <Override PartName="/xl/activeX/activeX76.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6.xml" ContentType="application/vnd.ms-office.activeX+xml"/>
  <Override PartName="/xl/activeX/activeX85.bin" ContentType="application/vnd.ms-office.activeX"/>
  <Override PartName="/xl/activeX/activeX85.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0.bin" ContentType="application/vnd.ms-office.activeX"/>
  <Override PartName="/xl/activeX/activeX250.xml" ContentType="application/vnd.ms-office.activeX+xml"/>
  <Override PartName="/xl/activeX/activeX249.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57.xml" ContentType="application/vnd.ms-office.activeX+xml"/>
  <Override PartName="/xl/activeX/activeX256.bin" ContentType="application/vnd.ms-office.activeX"/>
  <Override PartName="/xl/activeX/activeX256.xml" ContentType="application/vnd.ms-office.activeX+xml"/>
  <Override PartName="/xl/activeX/activeX255.bin" ContentType="application/vnd.ms-office.activeX"/>
  <Override PartName="/xl/customProperty7.bin" ContentType="application/vnd.openxmlformats-officedocument.spreadsheetml.customProperty"/>
  <Override PartName="/xl/activeX/activeX33.bin" ContentType="application/vnd.ms-office.activeX"/>
  <Override PartName="/xl/activeX/activeX33.xml" ContentType="application/vnd.ms-office.activeX+xml"/>
  <Override PartName="/xl/activeX/activeX246.bin" ContentType="application/vnd.ms-office.activeX"/>
  <Override PartName="/xl/activeX/activeX246.xml" ContentType="application/vnd.ms-office.activeX+xml"/>
  <Override PartName="/xl/activeX/activeX245.bin" ContentType="application/vnd.ms-office.activeX"/>
  <Override PartName="/xl/activeX/activeX236.bin" ContentType="application/vnd.ms-office.activeX"/>
  <Override PartName="/xl/activeX/activeX237.xml" ContentType="application/vnd.ms-office.activeX+xml"/>
  <Override PartName="/xl/activeX/activeX237.bin" ContentType="application/vnd.ms-office.activeX"/>
  <Override PartName="/xl/customProperty6.bin" ContentType="application/vnd.openxmlformats-officedocument.spreadsheetml.customProperty"/>
  <Override PartName="/xl/activeX/activeX34.bin" ContentType="application/vnd.ms-office.activeX"/>
  <Override PartName="/xl/activeX/activeX236.xml" ContentType="application/vnd.ms-office.activeX+xml"/>
  <Override PartName="/xl/activeX/activeX235.bin" ContentType="application/vnd.ms-office.activeX"/>
  <Override PartName="/xl/activeX/activeX235.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34.xml" ContentType="application/vnd.ms-office.activeX+xml"/>
  <Override PartName="/xl/activeX/activeX238.xml" ContentType="application/vnd.ms-office.activeX+xml"/>
  <Override PartName="/xl/activeX/activeX238.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2.bin" ContentType="application/vnd.ms-office.activeX"/>
  <Override PartName="/xl/activeX/activeX242.xml" ContentType="application/vnd.ms-office.activeX+xml"/>
  <Override PartName="/xl/activeX/activeX241.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82.bin" ContentType="application/vnd.ms-office.activeX"/>
  <Override PartName="/xl/activeX/activeX283.xml" ContentType="application/vnd.ms-office.activeX+xml"/>
  <Override PartName="/xl/activeX/activeX283.bin" ContentType="application/vnd.ms-office.activeX"/>
  <Override PartName="/xl/customProperty8.bin" ContentType="application/vnd.openxmlformats-officedocument.spreadsheetml.customProperty"/>
  <Override PartName="/xl/activeX/activeX32.bin" ContentType="application/vnd.ms-office.activeX"/>
  <Override PartName="/xl/activeX/activeX32.xml" ContentType="application/vnd.ms-office.activeX+xml"/>
  <Override PartName="/xl/activeX/activeX282.xml" ContentType="application/vnd.ms-office.activeX+xml"/>
  <Override PartName="/xl/activeX/activeX281.bin" ContentType="application/vnd.ms-office.activeX"/>
  <Override PartName="/xl/activeX/activeX281.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4.xml" ContentType="application/vnd.ms-office.activeX+xml"/>
  <Override PartName="/xl/activeX/activeX284.bin" ContentType="application/vnd.ms-office.activeX"/>
  <Override PartName="/xl/activeX/activeX31.bin" ContentType="application/vnd.ms-office.activeX"/>
  <Override PartName="/xl/activeX/activeX30.xml" ContentType="application/vnd.ms-office.activeX+xml"/>
  <Override PartName="/xl/activeX/activeX288.xml" ContentType="application/vnd.ms-office.activeX+xml"/>
  <Override PartName="/xl/activeX/activeX288.bin" ContentType="application/vnd.ms-office.activeX"/>
  <Override PartName="/xl/activeX/activeX29.bin" ContentType="application/vnd.ms-office.activeX"/>
  <Override PartName="/xl/activeX/activeX289.xml" ContentType="application/vnd.ms-office.activeX+xml"/>
  <Override PartName="/xl/activeX/activeX289.bin" ContentType="application/vnd.ms-office.activeX"/>
  <Override PartName="/xl/activeX/activeX287.bin" ContentType="application/vnd.ms-office.activeX"/>
  <Override PartName="/xl/activeX/activeX287.xml" ContentType="application/vnd.ms-office.activeX+xml"/>
  <Override PartName="/xl/activeX/activeX30.bin" ContentType="application/vnd.ms-office.activeX"/>
  <Override PartName="/xl/activeX/activeX285.xml" ContentType="application/vnd.ms-office.activeX+xml"/>
  <Override PartName="/xl/activeX/activeX285.bin" ContentType="application/vnd.ms-office.activeX"/>
  <Override PartName="/xl/activeX/activeX31.xml" ContentType="application/vnd.ms-office.activeX+xml"/>
  <Override PartName="/xl/activeX/activeX286.xml" ContentType="application/vnd.ms-office.activeX+xml"/>
  <Override PartName="/xl/activeX/activeX286.bin" ContentType="application/vnd.ms-office.activeX"/>
  <Override PartName="/xl/activeX/activeX278.xml" ContentType="application/vnd.ms-office.activeX+xml"/>
  <Override PartName="/xl/activeX/activeX277.bin" ContentType="application/vnd.ms-office.activeX"/>
  <Override PartName="/xl/activeX/activeX277.xml" ContentType="application/vnd.ms-office.activeX+xml"/>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5.bin" ContentType="application/vnd.ms-office.activeX"/>
  <Override PartName="/xl/activeX/activeX265.xml" ContentType="application/vnd.ms-office.activeX+xml"/>
  <Override PartName="/xl/activeX/activeX264.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4.xml" ContentType="application/vnd.ms-office.activeX+xml"/>
  <Override PartName="/xl/activeX/activeX273.bin" ContentType="application/vnd.ms-office.activeX"/>
  <Override PartName="/xl/activeX/activeX273.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32.xml" ContentType="application/vnd.ms-office.activeX+xml"/>
  <Override PartName="/xl/activeX/activeX231.bin" ContentType="application/vnd.ms-office.activeX"/>
  <Override PartName="/xl/activeX/activeX231.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0.xml" ContentType="application/vnd.ms-office.activeX+xml"/>
  <Override PartName="/xl/activeX/activeX189.bin" ContentType="application/vnd.ms-office.activeX"/>
  <Override PartName="/xl/activeX/activeX189.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198.bin" ContentType="application/vnd.ms-office.activeX"/>
  <Override PartName="/xl/activeX/activeX198.xml" ContentType="application/vnd.ms-office.activeX+xml"/>
  <Override PartName="/xl/activeX/activeX197.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86.xml" ContentType="application/vnd.ms-office.activeX+xml"/>
  <Override PartName="/xl/activeX/activeX185.bin" ContentType="application/vnd.ms-office.activeX"/>
  <Override PartName="/xl/activeX/activeX185.xml" ContentType="application/vnd.ms-office.activeX+xml"/>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3.bin" ContentType="application/vnd.ms-office.activeX"/>
  <Override PartName="/xl/activeX/activeX173.xml" ContentType="application/vnd.ms-office.activeX+xml"/>
  <Override PartName="/xl/activeX/activeX172.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2.xml" ContentType="application/vnd.ms-office.activeX+xml"/>
  <Override PartName="/xl/activeX/activeX181.bin" ContentType="application/vnd.ms-office.activeX"/>
  <Override PartName="/xl/activeX/activeX181.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1.bin" ContentType="application/vnd.ms-office.activeX"/>
  <Override PartName="/xl/activeX/activeX221.xml" ContentType="application/vnd.ms-office.activeX+xml"/>
  <Override PartName="/xl/activeX/activeX220.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28.xml" ContentType="application/vnd.ms-office.activeX+xml"/>
  <Override PartName="/xl/activeX/activeX35.xml" ContentType="application/vnd.ms-office.activeX+xml"/>
  <Override PartName="/xl/activeX/activeX35.bin" ContentType="application/vnd.ms-office.activeX"/>
  <Override PartName="/xl/activeX/activeX226.bin" ContentType="application/vnd.ms-office.activeX"/>
  <Override PartName="/xl/activeX/activeX227.xml" ContentType="application/vnd.ms-office.activeX+xml"/>
  <Override PartName="/xl/activeX/activeX227.bin" ContentType="application/vnd.ms-office.activeX"/>
  <Override PartName="/xl/customProperty5.bin" ContentType="application/vnd.openxmlformats-officedocument.spreadsheetml.customProperty"/>
  <Override PartName="/xl/activeX/activeX36.xml" ContentType="application/vnd.ms-office.activeX+xml"/>
  <Override PartName="/xl/activeX/activeX36.bin" ContentType="application/vnd.ms-office.activeX"/>
  <Override PartName="/xl/customProperty4.bin" ContentType="application/vnd.openxmlformats-officedocument.spreadsheetml.customProperty"/>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07.xml" ContentType="application/vnd.ms-office.activeX+xml"/>
  <Override PartName="/xl/activeX/activeX206.bin" ContentType="application/vnd.ms-office.activeX"/>
  <Override PartName="/xl/activeX/activeX206.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5.bin" ContentType="application/vnd.ms-office.activeX"/>
  <Override PartName="/xl/activeX/activeX215.xml" ContentType="application/vnd.ms-office.activeX+xml"/>
  <Override PartName="/xl/activeX/activeX214.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40.xml" ContentType="application/vnd.ms-office.activeX+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D:\Users\carina.anandilla\Downloads\FOLLOW UP WEB\SEOJK 23 - TUNGGU KONFIRMASI DHUK\"/>
    </mc:Choice>
  </mc:AlternateContent>
  <bookViews>
    <workbookView xWindow="0" yWindow="0" windowWidth="19200" windowHeight="7050" tabRatio="740"/>
  </bookViews>
  <sheets>
    <sheet name="1. Operasional" sheetId="7" r:id="rId1"/>
    <sheet name="2. Kredit" sheetId="10" r:id="rId2"/>
    <sheet name="3. Likuiditas" sheetId="8" r:id="rId3"/>
    <sheet name="4. Pasar" sheetId="4" r:id="rId4"/>
    <sheet name="5. Kepatuhan" sheetId="3" r:id="rId5"/>
    <sheet name="6. Reputasi" sheetId="5" r:id="rId6"/>
    <sheet name="7. Hukum" sheetId="2" r:id="rId7"/>
    <sheet name="8. Strategis" sheetId="16" r:id="rId8"/>
    <sheet name="Rekap Nilai" sheetId="13" r:id="rId9"/>
    <sheet name="12. Summary" sheetId="15" r:id="rId10"/>
  </sheets>
  <externalReferences>
    <externalReference r:id="rId11"/>
  </externalReferences>
  <definedNames>
    <definedName name="Jenis_Risiko" localSheetId="6">[1]Sheet2!$A$3:$A$9</definedName>
    <definedName name="OLE_LINK1" localSheetId="0">'1. Operasional'!#REF!</definedName>
    <definedName name="_xlnm.Print_Area" localSheetId="0">'1. Operasional'!$A$1:$J$342</definedName>
    <definedName name="_xlnm.Print_Area" localSheetId="9">'12. Summary'!$B$2:$G$52</definedName>
    <definedName name="_xlnm.Print_Area" localSheetId="1">'2. Kredit'!$A$1:$I$111</definedName>
    <definedName name="_xlnm.Print_Area" localSheetId="2">'3. Likuiditas'!$A$1:$I$154</definedName>
    <definedName name="_xlnm.Print_Area" localSheetId="3">'4. Pasar'!$A$1:$I$37</definedName>
    <definedName name="_xlnm.Print_Area" localSheetId="4">'5. Kepatuhan'!$A$1:$I$27</definedName>
    <definedName name="_xlnm.Print_Area" localSheetId="5">'6. Reputasi'!$A$1:$J$52</definedName>
    <definedName name="_xlnm.Print_Area" localSheetId="6">'7. Hukum'!$A$1:$I$60</definedName>
    <definedName name="_xlnm.Print_Area" localSheetId="7">'8. Strategis'!$A$1:$I$109</definedName>
  </definedNames>
  <calcPr calcId="162913"/>
</workbook>
</file>

<file path=xl/calcChain.xml><?xml version="1.0" encoding="utf-8"?>
<calcChain xmlns="http://schemas.openxmlformats.org/spreadsheetml/2006/main">
  <c r="E47" i="15" l="1"/>
  <c r="E43" i="15"/>
  <c r="E51" i="15"/>
  <c r="E50" i="15"/>
  <c r="E49" i="15"/>
  <c r="E48" i="15"/>
  <c r="E46" i="15"/>
  <c r="D51" i="15"/>
  <c r="D50" i="15"/>
  <c r="D49" i="15"/>
  <c r="D48" i="15"/>
  <c r="D46" i="15"/>
  <c r="CP6" i="13"/>
  <c r="CJ6" i="13"/>
  <c r="CO6" i="13"/>
  <c r="AT6" i="13"/>
  <c r="AU6" i="13" s="1"/>
  <c r="AO6" i="13"/>
  <c r="CI6" i="13"/>
  <c r="CD6" i="13"/>
  <c r="CE6" i="13" s="1"/>
  <c r="BX6" i="13"/>
  <c r="BY6" i="13" s="1"/>
  <c r="BO6" i="13"/>
  <c r="BP6" i="13" s="1"/>
  <c r="BG6" i="13"/>
  <c r="BH6" i="13" s="1"/>
  <c r="AN6" i="13"/>
  <c r="D43" i="15" s="1"/>
  <c r="F43" i="15" s="1"/>
  <c r="G43" i="15" s="1"/>
  <c r="AI6" i="13"/>
  <c r="AJ6" i="13" s="1"/>
  <c r="AC6" i="13"/>
  <c r="AD6" i="13" s="1"/>
  <c r="T6" i="13"/>
  <c r="D21" i="15" s="1"/>
  <c r="L6" i="13"/>
  <c r="D9" i="15" s="1"/>
  <c r="E45" i="15"/>
  <c r="D45" i="15"/>
  <c r="E44" i="15"/>
  <c r="D44" i="15"/>
  <c r="E42" i="15"/>
  <c r="D42" i="15"/>
  <c r="E41" i="15"/>
  <c r="D41" i="15"/>
  <c r="E39" i="15"/>
  <c r="E38" i="15" s="1"/>
  <c r="D39" i="15"/>
  <c r="D38" i="15" s="1"/>
  <c r="E37" i="15"/>
  <c r="E36" i="15" s="1"/>
  <c r="D37" i="15"/>
  <c r="D36" i="15" s="1"/>
  <c r="E35" i="15"/>
  <c r="D35" i="15"/>
  <c r="E34" i="15"/>
  <c r="D34" i="15"/>
  <c r="E33" i="15"/>
  <c r="D33" i="15"/>
  <c r="E32" i="15"/>
  <c r="D32" i="15"/>
  <c r="E31" i="15"/>
  <c r="D31" i="15"/>
  <c r="E30" i="15"/>
  <c r="D30" i="15"/>
  <c r="E29" i="15"/>
  <c r="D29" i="15"/>
  <c r="E27" i="15"/>
  <c r="D27" i="15"/>
  <c r="E26" i="15"/>
  <c r="D26" i="15"/>
  <c r="E25" i="15"/>
  <c r="D25" i="15"/>
  <c r="E24" i="15"/>
  <c r="D24" i="15"/>
  <c r="E23" i="15"/>
  <c r="D23" i="15"/>
  <c r="E22" i="15"/>
  <c r="D22" i="15"/>
  <c r="E20" i="15"/>
  <c r="D20" i="15"/>
  <c r="E19" i="15"/>
  <c r="D19" i="15"/>
  <c r="E18" i="15"/>
  <c r="D18" i="15"/>
  <c r="E17" i="15"/>
  <c r="D17" i="15"/>
  <c r="E16" i="15"/>
  <c r="D16" i="15"/>
  <c r="E15" i="15"/>
  <c r="D15" i="15"/>
  <c r="E14" i="15"/>
  <c r="D14" i="15"/>
  <c r="E13" i="15"/>
  <c r="D13" i="15"/>
  <c r="D12" i="15"/>
  <c r="D11" i="15"/>
  <c r="D10" i="15"/>
  <c r="C4" i="15"/>
  <c r="C3" i="15"/>
  <c r="C2" i="15"/>
  <c r="D47" i="15" l="1"/>
  <c r="F47" i="15" s="1"/>
  <c r="G47" i="15" s="1"/>
  <c r="CQ6" i="13"/>
  <c r="CS6" i="13"/>
  <c r="E21" i="15"/>
  <c r="F21" i="15" s="1"/>
  <c r="G21" i="15" s="1"/>
  <c r="D28" i="15"/>
  <c r="E40" i="15"/>
  <c r="F36" i="15"/>
  <c r="G36" i="15" s="1"/>
  <c r="E28" i="15"/>
  <c r="F38" i="15"/>
  <c r="G38" i="15" s="1"/>
  <c r="CR6" i="13"/>
  <c r="E9" i="15"/>
  <c r="F9" i="15" s="1"/>
  <c r="G9" i="15" s="1"/>
  <c r="D40" i="15"/>
  <c r="U6" i="13"/>
  <c r="M6" i="13"/>
  <c r="F40" i="15" l="1"/>
  <c r="G40" i="15" s="1"/>
  <c r="F28" i="15"/>
  <c r="G28" i="15" s="1"/>
  <c r="D8" i="15"/>
  <c r="E8" i="15"/>
  <c r="CT6" i="13"/>
  <c r="CU6" i="13"/>
  <c r="F8" i="15" l="1"/>
  <c r="G8" i="15" s="1"/>
  <c r="C5" i="15" s="1"/>
</calcChain>
</file>

<file path=xl/sharedStrings.xml><?xml version="1.0" encoding="utf-8"?>
<sst xmlns="http://schemas.openxmlformats.org/spreadsheetml/2006/main" count="2614" uniqueCount="882">
  <si>
    <t>1. Profil Risiko</t>
  </si>
  <si>
    <t>RISIKO OPERASIONAL</t>
  </si>
  <si>
    <t>Tujuan:</t>
  </si>
  <si>
    <t>Kesimpulan :</t>
  </si>
  <si>
    <t>PARAMETER</t>
  </si>
  <si>
    <t>I. Kompleksitas Bisnis</t>
  </si>
  <si>
    <t>Indikator Parameter Risiko Inheren</t>
  </si>
  <si>
    <t>Klasifikasi</t>
  </si>
  <si>
    <t>Pengukuran Risiko</t>
  </si>
  <si>
    <t>Mitigasi</t>
  </si>
  <si>
    <t>1. Kompleksitas Produk dan Transaksi</t>
  </si>
  <si>
    <t>Peringkat 1</t>
  </si>
  <si>
    <t xml:space="preserve"> a.</t>
  </si>
  <si>
    <t>Perusahaan Efek saat ini hanya sebagai perantara atas Efek yang bersifat Ekuitas dan/atau unit penyertaan reksa dana untuk pihak lain</t>
  </si>
  <si>
    <t>Peringkat 2</t>
  </si>
  <si>
    <t>a.</t>
  </si>
  <si>
    <t>Perusahaan Efek saat ini sebagai perantara atas Efek yang bersifat Ekuitas, unit penyertaan reksa dana dan/atau Surat Utang (Korporasi dan Negara) untuk pihak lain</t>
  </si>
  <si>
    <t>Peringkat 3</t>
  </si>
  <si>
    <t>Perusahaan Efek saat ini sebagai perantara pedagang atas Efek yang bersifat Ekuitas, unit penyertaan reksa dana dan Surat Utang (Korporasi dan Negara) untuk pihak lain dan/atau untuk portofolio PE</t>
  </si>
  <si>
    <t>b.</t>
  </si>
  <si>
    <t>Perusahaan Efek sebagai Partisipan dalam transaksi Surat Utang</t>
  </si>
  <si>
    <t>Perusahaan Efek saat ini memperdagangkan Efek bersifat Ekuitas, unit penyertaan reksa dana,  Surat Utang (Korporasi dan Negara), dan/atau Efek Derivatif untuk pihak lain dan/atau untuk portofolio PE</t>
  </si>
  <si>
    <t>Peringkat 4</t>
  </si>
  <si>
    <t xml:space="preserve">Perusahaan Efek sebagai Partisipan dalam transaksi Surat Utang </t>
  </si>
  <si>
    <t>c.</t>
  </si>
  <si>
    <r>
      <rPr>
        <sz val="9"/>
        <color theme="1"/>
        <rFont val="Bookman Old Style"/>
        <charset val="134"/>
      </rPr>
      <t xml:space="preserve">Perusahaan Efek melakukan transaksi Repo, </t>
    </r>
    <r>
      <rPr>
        <i/>
        <sz val="9"/>
        <color theme="1"/>
        <rFont val="Bookman Old Style"/>
        <charset val="134"/>
      </rPr>
      <t>Reverse Repo</t>
    </r>
    <r>
      <rPr>
        <sz val="9"/>
        <color theme="1"/>
        <rFont val="Bookman Old Style"/>
        <charset val="134"/>
      </rPr>
      <t xml:space="preserve">, Pinjam-meminjam Dana dan Efek. </t>
    </r>
  </si>
  <si>
    <t>Peringkat 5</t>
  </si>
  <si>
    <t>Perusahaan Efek saat ini memperdagangkan Efek bersifat Ekuitas, unit penyertaan reksa dana, Surat Utang (Korporasi dan Negara), Efek Derivatif dan/atau Efek lain yang tidak terdaftar, untuk pihak lain dan/atau untuk portofolio PE</t>
  </si>
  <si>
    <t>Perusahaan Efek sebagai Partisipan dalam transaksi Surat Utang , Penerbit efek</t>
  </si>
  <si>
    <r>
      <rPr>
        <sz val="9"/>
        <color theme="1"/>
        <rFont val="Bookman Old Style"/>
        <charset val="134"/>
      </rPr>
      <t xml:space="preserve">Perusahaan Efek melakukan transaksi Repo, </t>
    </r>
    <r>
      <rPr>
        <i/>
        <sz val="9"/>
        <color theme="1"/>
        <rFont val="Bookman Old Style"/>
        <charset val="134"/>
      </rPr>
      <t>Reverse Repo</t>
    </r>
    <r>
      <rPr>
        <sz val="9"/>
        <color theme="1"/>
        <rFont val="Bookman Old Style"/>
        <charset val="134"/>
      </rPr>
      <t>, Pinjam-meminjam Dana dan Efek.</t>
    </r>
  </si>
  <si>
    <t>2. Kompleksitas Layanan Jasa Perdagangan</t>
  </si>
  <si>
    <t>Perusahaan Efek mempunyai izin PPE</t>
  </si>
  <si>
    <r>
      <rPr>
        <sz val="9"/>
        <color theme="1"/>
        <rFont val="Bookman Old Style"/>
        <charset val="134"/>
      </rPr>
      <t xml:space="preserve">Perusahaan Efek mempunyai </t>
    </r>
    <r>
      <rPr>
        <i/>
        <sz val="9"/>
        <color theme="1"/>
        <rFont val="Bookman Old Style"/>
        <charset val="134"/>
      </rPr>
      <t>Online Trading</t>
    </r>
  </si>
  <si>
    <t>Perusahaan Efek mempunyai izin PPE / PEE</t>
  </si>
  <si>
    <r>
      <rPr>
        <sz val="9"/>
        <color theme="1"/>
        <rFont val="Bookman Old Style"/>
        <charset val="134"/>
      </rPr>
      <t xml:space="preserve">Perusahaan Efek mempunyai izin Marjin dan </t>
    </r>
    <r>
      <rPr>
        <i/>
        <sz val="9"/>
        <color theme="1"/>
        <rFont val="Bookman Old Style"/>
        <charset val="134"/>
      </rPr>
      <t>Short Selling</t>
    </r>
  </si>
  <si>
    <r>
      <rPr>
        <sz val="9"/>
        <color theme="1"/>
        <rFont val="Bookman Old Style"/>
        <charset val="134"/>
      </rPr>
      <t>Perusahaan Efek mempunyai izin Marjin dan</t>
    </r>
    <r>
      <rPr>
        <i/>
        <sz val="9"/>
        <color theme="1"/>
        <rFont val="Bookman Old Style"/>
        <charset val="134"/>
      </rPr>
      <t xml:space="preserve"> Short Selling</t>
    </r>
  </si>
  <si>
    <t>d.</t>
  </si>
  <si>
    <r>
      <rPr>
        <sz val="9"/>
        <color theme="1"/>
        <rFont val="Bookman Old Style"/>
        <charset val="134"/>
      </rPr>
      <t xml:space="preserve">Perusahaan Efek mempunyai izin </t>
    </r>
    <r>
      <rPr>
        <i/>
        <sz val="9"/>
        <color theme="1"/>
        <rFont val="Bookman Old Style"/>
        <charset val="134"/>
      </rPr>
      <t>Algorithm Trading</t>
    </r>
    <r>
      <rPr>
        <sz val="9"/>
        <color theme="1"/>
        <rFont val="Bookman Old Style"/>
        <charset val="134"/>
      </rPr>
      <t xml:space="preserve"> dan DMA</t>
    </r>
  </si>
  <si>
    <t>3. Kompleksitas Nasabah</t>
  </si>
  <si>
    <t>Perusahaan Efek mempunyai NPR Dalam Negeri dan/atau Nasabah Kelembagaan Dalam Negeri</t>
  </si>
  <si>
    <t>NPR yang aktif sd 500 dan Nasabah Kelembagaan sd 5</t>
  </si>
  <si>
    <t xml:space="preserve">Perusahaan Efek mempunyai NPR Dalam Negeri dan/ atau Nasabah Kelembagaan Dalam Negeri </t>
  </si>
  <si>
    <t>NPR yang aktif 501 sd 1000 dan Nasabah Kelembagaan 6 sd 10</t>
  </si>
  <si>
    <t xml:space="preserve">Perusahaan Efek mempunyai NPR Dalam Negeri dan/atau Nasabah Kelembagaan Dalam Negeri dan/atau Luar Negeri </t>
  </si>
  <si>
    <t>NPR yang aktif sd 5.000 dan Nasabah Kelembagaan sd 10, atau</t>
  </si>
  <si>
    <t>NPR Perusahaan Efek termasuk Pegawai Perusahaan Efek (hanya c)</t>
  </si>
  <si>
    <t>Perusahaan Efek mempunyai NPR Dalam Negeri dan/atau Nasabah Kelembagaan Dalam Negeri dan/ atau Luar Negeri</t>
  </si>
  <si>
    <t>NPR yang aktif 5001 sd 10000 dan Nasabah Kelembagaan sd 10</t>
  </si>
  <si>
    <t>NPR Perusahaan Efek termasuk Pegawai Perusahaan Efek</t>
  </si>
  <si>
    <t>NPR yang aktif &gt; 10000 dan Nasabah Kelembagaan &gt; 10</t>
  </si>
  <si>
    <t>II. Sumber Daya Manusia</t>
  </si>
  <si>
    <t>Ref</t>
  </si>
  <si>
    <t>1. Beban kerja pegawai yang tidak seimbang akibat proses kerja yang tidak efisien</t>
  </si>
  <si>
    <r>
      <rPr>
        <sz val="9"/>
        <color theme="1"/>
        <rFont val="Bookman Old Style"/>
        <charset val="134"/>
      </rPr>
      <t xml:space="preserve">Tidak ada </t>
    </r>
    <r>
      <rPr>
        <i/>
        <sz val="9"/>
        <color theme="1"/>
        <rFont val="Bookman Old Style"/>
        <charset val="134"/>
      </rPr>
      <t>turnover</t>
    </r>
    <r>
      <rPr>
        <sz val="9"/>
        <color theme="1"/>
        <rFont val="Bookman Old Style"/>
        <charset val="134"/>
      </rPr>
      <t xml:space="preserve"> pegawai (6bulan)</t>
    </r>
  </si>
  <si>
    <r>
      <rPr>
        <b/>
        <sz val="9"/>
        <color theme="1"/>
        <rFont val="Bookman Old Style"/>
        <charset val="134"/>
      </rPr>
      <t>Memiliki</t>
    </r>
    <r>
      <rPr>
        <sz val="9"/>
        <color theme="1"/>
        <rFont val="Bookman Old Style"/>
        <charset val="134"/>
      </rPr>
      <t xml:space="preserve"> POS rekrutmen pegawai</t>
    </r>
  </si>
  <si>
    <t>Tidak ada turnover pegawai berizin (6bulan)</t>
  </si>
  <si>
    <t>POS diimplementasikan, diawasi, dan diperiksa</t>
  </si>
  <si>
    <r>
      <rPr>
        <sz val="9"/>
        <color theme="1"/>
        <rFont val="Bookman Old Style"/>
        <charset val="134"/>
      </rPr>
      <t xml:space="preserve">Tidak ada pegawai </t>
    </r>
    <r>
      <rPr>
        <i/>
        <sz val="9"/>
        <color theme="1"/>
        <rFont val="Bookman Old Style"/>
        <charset val="134"/>
      </rPr>
      <t>outsourcing</t>
    </r>
  </si>
  <si>
    <r>
      <rPr>
        <sz val="9"/>
        <color theme="1"/>
        <rFont val="Bookman Old Style"/>
        <charset val="134"/>
      </rPr>
      <t xml:space="preserve">POS direviu </t>
    </r>
    <r>
      <rPr>
        <b/>
        <sz val="9"/>
        <color theme="1"/>
        <rFont val="Bookman Old Style"/>
        <charset val="134"/>
      </rPr>
      <t>berkala</t>
    </r>
    <r>
      <rPr>
        <sz val="9"/>
        <color theme="1"/>
        <rFont val="Bookman Old Style"/>
        <charset val="134"/>
      </rPr>
      <t xml:space="preserve"> dan </t>
    </r>
    <r>
      <rPr>
        <b/>
        <sz val="9"/>
        <color theme="1"/>
        <rFont val="Bookman Old Style"/>
        <charset val="134"/>
      </rPr>
      <t>diperbarui</t>
    </r>
  </si>
  <si>
    <r>
      <rPr>
        <sz val="9"/>
        <color theme="1"/>
        <rFont val="Bookman Old Style"/>
        <charset val="134"/>
      </rPr>
      <t xml:space="preserve">Jumlah </t>
    </r>
    <r>
      <rPr>
        <i/>
        <sz val="9"/>
        <color theme="1"/>
        <rFont val="Bookman Old Style"/>
        <charset val="134"/>
      </rPr>
      <t>User Remote Trading</t>
    </r>
    <r>
      <rPr>
        <sz val="9"/>
        <color theme="1"/>
        <rFont val="Bookman Old Style"/>
        <charset val="134"/>
      </rPr>
      <t xml:space="preserve"> sama dengan jumlah WPE</t>
    </r>
  </si>
  <si>
    <r>
      <rPr>
        <b/>
        <sz val="9"/>
        <color theme="1"/>
        <rFont val="Bookman Old Style"/>
        <charset val="134"/>
      </rPr>
      <t>Memiliki</t>
    </r>
    <r>
      <rPr>
        <sz val="9"/>
        <color theme="1"/>
        <rFont val="Bookman Old Style"/>
        <charset val="134"/>
      </rPr>
      <t xml:space="preserve"> Analisis Beban Kerja pegawai</t>
    </r>
  </si>
  <si>
    <t>e.</t>
  </si>
  <si>
    <t>Pegawai pada fungsi utama (VD3) Perusahaan Efek semua memiliki izin WPE</t>
  </si>
  <si>
    <r>
      <rPr>
        <b/>
        <sz val="9"/>
        <color theme="1"/>
        <rFont val="Bookman Old Style"/>
        <charset val="134"/>
      </rPr>
      <t>Memiliki</t>
    </r>
    <r>
      <rPr>
        <sz val="9"/>
        <color theme="1"/>
        <rFont val="Bookman Old Style"/>
        <charset val="134"/>
      </rPr>
      <t xml:space="preserve"> daftar WPE tercela</t>
    </r>
  </si>
  <si>
    <r>
      <rPr>
        <i/>
        <sz val="9"/>
        <color theme="1"/>
        <rFont val="Bookman Old Style"/>
        <charset val="134"/>
      </rPr>
      <t>T</t>
    </r>
    <r>
      <rPr>
        <sz val="9"/>
        <color theme="1"/>
        <rFont val="Bookman Old Style"/>
        <charset val="134"/>
      </rPr>
      <t>urnover pegawai &lt; 5% dimana tidak ada pegawai inti yang pindah</t>
    </r>
  </si>
  <si>
    <r>
      <rPr>
        <i/>
        <sz val="9"/>
        <color theme="1"/>
        <rFont val="Bookman Old Style"/>
        <charset val="134"/>
      </rPr>
      <t>Turnover</t>
    </r>
    <r>
      <rPr>
        <sz val="9"/>
        <color theme="1"/>
        <rFont val="Bookman Old Style"/>
        <charset val="134"/>
      </rPr>
      <t xml:space="preserve"> pegawai berizin &lt; 5% </t>
    </r>
  </si>
  <si>
    <r>
      <rPr>
        <sz val="9"/>
        <color theme="1"/>
        <rFont val="Bookman Old Style"/>
        <charset val="134"/>
      </rPr>
      <t xml:space="preserve">Jumlah pegawai </t>
    </r>
    <r>
      <rPr>
        <i/>
        <sz val="9"/>
        <color theme="1"/>
        <rFont val="Bookman Old Style"/>
        <charset val="134"/>
      </rPr>
      <t>outsourcing</t>
    </r>
    <r>
      <rPr>
        <sz val="9"/>
        <color theme="1"/>
        <rFont val="Bookman Old Style"/>
        <charset val="134"/>
      </rPr>
      <t xml:space="preserve"> tidak ada</t>
    </r>
  </si>
  <si>
    <r>
      <rPr>
        <sz val="9"/>
        <color theme="1"/>
        <rFont val="Bookman Old Style"/>
        <charset val="134"/>
      </rPr>
      <t xml:space="preserve">POS </t>
    </r>
    <r>
      <rPr>
        <b/>
        <sz val="9"/>
        <color theme="1"/>
        <rFont val="Bookman Old Style"/>
        <charset val="134"/>
      </rPr>
      <t>d</t>
    </r>
    <r>
      <rPr>
        <sz val="9"/>
        <color theme="1"/>
        <rFont val="Bookman Old Style"/>
        <charset val="134"/>
      </rPr>
      <t xml:space="preserve">ireviu </t>
    </r>
    <r>
      <rPr>
        <b/>
        <sz val="9"/>
        <color theme="1"/>
        <rFont val="Bookman Old Style"/>
        <charset val="134"/>
      </rPr>
      <t>Insidentil</t>
    </r>
    <r>
      <rPr>
        <sz val="9"/>
        <color theme="1"/>
        <rFont val="Bookman Old Style"/>
        <charset val="134"/>
      </rPr>
      <t xml:space="preserve"> dan </t>
    </r>
    <r>
      <rPr>
        <b/>
        <sz val="9"/>
        <color theme="1"/>
        <rFont val="Bookman Old Style"/>
        <charset val="134"/>
      </rPr>
      <t>diperbarui</t>
    </r>
  </si>
  <si>
    <r>
      <rPr>
        <sz val="9"/>
        <color theme="1"/>
        <rFont val="Bookman Old Style"/>
        <charset val="134"/>
      </rPr>
      <t>Jumlah</t>
    </r>
    <r>
      <rPr>
        <i/>
        <sz val="9"/>
        <color theme="1"/>
        <rFont val="Bookman Old Style"/>
        <charset val="134"/>
      </rPr>
      <t xml:space="preserve"> User Remote Trading</t>
    </r>
    <r>
      <rPr>
        <sz val="9"/>
        <color theme="1"/>
        <rFont val="Bookman Old Style"/>
        <charset val="134"/>
      </rPr>
      <t xml:space="preserve"> sama dengan jumlah WPE</t>
    </r>
  </si>
  <si>
    <t>Pegawai pada fungsi utama Perusahaan Efek sebagian besar memiliki izin WPE</t>
  </si>
  <si>
    <r>
      <rPr>
        <b/>
        <sz val="9"/>
        <color theme="1"/>
        <rFont val="Bookman Old Style"/>
        <charset val="134"/>
      </rPr>
      <t>Tidak</t>
    </r>
    <r>
      <rPr>
        <sz val="9"/>
        <color theme="1"/>
        <rFont val="Bookman Old Style"/>
        <charset val="134"/>
      </rPr>
      <t xml:space="preserve"> Memiliki daftar WPE tercela</t>
    </r>
  </si>
  <si>
    <r>
      <rPr>
        <i/>
        <sz val="9"/>
        <color theme="1"/>
        <rFont val="Bookman Old Style"/>
        <charset val="134"/>
      </rPr>
      <t>Turnover</t>
    </r>
    <r>
      <rPr>
        <sz val="9"/>
        <color theme="1"/>
        <rFont val="Bookman Old Style"/>
        <charset val="134"/>
      </rPr>
      <t xml:space="preserve"> pegawai &lt;5% dimana &lt; 50%  pegawai inti</t>
    </r>
  </si>
  <si>
    <r>
      <rPr>
        <b/>
        <sz val="9"/>
        <color theme="1"/>
        <rFont val="Bookman Old Style"/>
        <charset val="134"/>
      </rPr>
      <t>Tidak</t>
    </r>
    <r>
      <rPr>
        <sz val="9"/>
        <color theme="1"/>
        <rFont val="Bookman Old Style"/>
        <charset val="134"/>
      </rPr>
      <t xml:space="preserve"> memiliki POS rekrutmen pegawai</t>
    </r>
  </si>
  <si>
    <r>
      <rPr>
        <i/>
        <sz val="9"/>
        <color theme="1"/>
        <rFont val="Bookman Old Style"/>
        <charset val="134"/>
      </rPr>
      <t>Turnover</t>
    </r>
    <r>
      <rPr>
        <sz val="9"/>
        <color theme="1"/>
        <rFont val="Bookman Old Style"/>
        <charset val="134"/>
      </rPr>
      <t xml:space="preserve"> pegawai berizin 5% - 10%</t>
    </r>
  </si>
  <si>
    <r>
      <rPr>
        <b/>
        <sz val="9"/>
        <color theme="1"/>
        <rFont val="Bookman Old Style"/>
        <charset val="134"/>
      </rPr>
      <t>Memiliki</t>
    </r>
    <r>
      <rPr>
        <sz val="9"/>
        <color theme="1"/>
        <rFont val="Bookman Old Style"/>
        <charset val="134"/>
      </rPr>
      <t xml:space="preserve"> Kebijakan tertulis mengenai rekrutmen pegawai</t>
    </r>
  </si>
  <si>
    <r>
      <rPr>
        <sz val="9"/>
        <color theme="1"/>
        <rFont val="Bookman Old Style"/>
        <charset val="134"/>
      </rPr>
      <t xml:space="preserve">Jumlah pegawai </t>
    </r>
    <r>
      <rPr>
        <i/>
        <sz val="9"/>
        <color theme="1"/>
        <rFont val="Bookman Old Style"/>
        <charset val="134"/>
      </rPr>
      <t>outsourcing</t>
    </r>
    <r>
      <rPr>
        <sz val="9"/>
        <color theme="1"/>
        <rFont val="Bookman Old Style"/>
        <charset val="134"/>
      </rPr>
      <t xml:space="preserve"> (</t>
    </r>
    <r>
      <rPr>
        <i/>
        <sz val="9"/>
        <color theme="1"/>
        <rFont val="Bookman Old Style"/>
        <charset val="134"/>
      </rPr>
      <t>remisier</t>
    </r>
    <r>
      <rPr>
        <sz val="9"/>
        <color theme="1"/>
        <rFont val="Bookman Old Style"/>
        <charset val="134"/>
      </rPr>
      <t xml:space="preserve">)  &lt; 25% dari tenaga pemasaran  </t>
    </r>
  </si>
  <si>
    <t>Kebijakan tertulis tersebut diimplementasikan, diawasi, dan diperiksa</t>
  </si>
  <si>
    <r>
      <rPr>
        <sz val="9"/>
        <color theme="1"/>
        <rFont val="Bookman Old Style"/>
        <charset val="134"/>
      </rPr>
      <t xml:space="preserve">Jumlah </t>
    </r>
    <r>
      <rPr>
        <i/>
        <sz val="9"/>
        <color theme="1"/>
        <rFont val="Bookman Old Style"/>
        <charset val="134"/>
      </rPr>
      <t>User Remote Trading</t>
    </r>
    <r>
      <rPr>
        <sz val="9"/>
        <color theme="1"/>
        <rFont val="Bookman Old Style"/>
        <charset val="134"/>
      </rPr>
      <t xml:space="preserve"> &gt; jumlah WPE</t>
    </r>
  </si>
  <si>
    <r>
      <rPr>
        <sz val="9"/>
        <color theme="1"/>
        <rFont val="Bookman Old Style"/>
        <charset val="134"/>
      </rPr>
      <t xml:space="preserve">Kebijakan tertulis direviu </t>
    </r>
    <r>
      <rPr>
        <b/>
        <sz val="9"/>
        <color theme="1"/>
        <rFont val="Bookman Old Style"/>
        <charset val="134"/>
      </rPr>
      <t>berkala</t>
    </r>
    <r>
      <rPr>
        <sz val="9"/>
        <color theme="1"/>
        <rFont val="Bookman Old Style"/>
        <charset val="134"/>
      </rPr>
      <t xml:space="preserve"> dan </t>
    </r>
    <r>
      <rPr>
        <b/>
        <sz val="9"/>
        <color theme="1"/>
        <rFont val="Bookman Old Style"/>
        <charset val="134"/>
      </rPr>
      <t>diperbarui</t>
    </r>
  </si>
  <si>
    <t>Hanya Pegawai pada fungsi utama Perusahaan Efek yang diwajibkan berizin telah memiliki izin WPE</t>
  </si>
  <si>
    <t>f.</t>
  </si>
  <si>
    <r>
      <rPr>
        <b/>
        <sz val="9"/>
        <color theme="1"/>
        <rFont val="Bookman Old Style"/>
        <charset val="134"/>
      </rPr>
      <t>Tidak</t>
    </r>
    <r>
      <rPr>
        <sz val="9"/>
        <color theme="1"/>
        <rFont val="Bookman Old Style"/>
        <charset val="134"/>
      </rPr>
      <t xml:space="preserve"> memiliki daftar WPE tercela</t>
    </r>
  </si>
  <si>
    <r>
      <rPr>
        <i/>
        <sz val="9"/>
        <color theme="1"/>
        <rFont val="Bookman Old Style"/>
        <charset val="134"/>
      </rPr>
      <t>Turnover</t>
    </r>
    <r>
      <rPr>
        <sz val="9"/>
        <color theme="1"/>
        <rFont val="Bookman Old Style"/>
        <charset val="134"/>
      </rPr>
      <t xml:space="preserve"> pegawai 5% sd 10%, dimana &gt; 50% pegawai inti</t>
    </r>
  </si>
  <si>
    <r>
      <rPr>
        <i/>
        <sz val="9"/>
        <color theme="1"/>
        <rFont val="Bookman Old Style"/>
        <charset val="134"/>
      </rPr>
      <t>Turnover</t>
    </r>
    <r>
      <rPr>
        <sz val="9"/>
        <color theme="1"/>
        <rFont val="Bookman Old Style"/>
        <charset val="134"/>
      </rPr>
      <t xml:space="preserve"> pegawai berizin 10% sd 50%</t>
    </r>
  </si>
  <si>
    <r>
      <rPr>
        <b/>
        <sz val="9"/>
        <color theme="1"/>
        <rFont val="Bookman Old Style"/>
        <charset val="134"/>
      </rPr>
      <t>Memiliki</t>
    </r>
    <r>
      <rPr>
        <sz val="9"/>
        <color theme="1"/>
        <rFont val="Bookman Old Style"/>
        <charset val="134"/>
      </rPr>
      <t xml:space="preserve"> Kebijakan tidak tertulis mengenai rekrutmen pegawai</t>
    </r>
  </si>
  <si>
    <r>
      <rPr>
        <sz val="9"/>
        <color theme="1"/>
        <rFont val="Bookman Old Style"/>
        <charset val="134"/>
      </rPr>
      <t xml:space="preserve">Jumlah pegawai </t>
    </r>
    <r>
      <rPr>
        <i/>
        <sz val="9"/>
        <color theme="1"/>
        <rFont val="Bookman Old Style"/>
        <charset val="134"/>
      </rPr>
      <t>outsourcing</t>
    </r>
    <r>
      <rPr>
        <sz val="9"/>
        <color theme="1"/>
        <rFont val="Bookman Old Style"/>
        <charset val="134"/>
      </rPr>
      <t xml:space="preserve"> (</t>
    </r>
    <r>
      <rPr>
        <i/>
        <sz val="9"/>
        <color theme="1"/>
        <rFont val="Bookman Old Style"/>
        <charset val="134"/>
      </rPr>
      <t>remisier</t>
    </r>
    <r>
      <rPr>
        <sz val="9"/>
        <color theme="1"/>
        <rFont val="Bookman Old Style"/>
        <charset val="134"/>
      </rPr>
      <t>) 25% - 50% dari tenaga pemasaran</t>
    </r>
  </si>
  <si>
    <r>
      <rPr>
        <b/>
        <sz val="9"/>
        <color theme="1"/>
        <rFont val="Bookman Old Style"/>
        <charset val="134"/>
      </rPr>
      <t>Tidak</t>
    </r>
    <r>
      <rPr>
        <sz val="9"/>
        <color theme="1"/>
        <rFont val="Bookman Old Style"/>
        <charset val="134"/>
      </rPr>
      <t xml:space="preserve"> Memiliki Analisis Beban Kerja pegawai</t>
    </r>
  </si>
  <si>
    <t xml:space="preserve">Hanya Pegawai pada fungsi utama Perusahaan Efek yang diwajibkan berizin telah memiliki izin WPE </t>
  </si>
  <si>
    <r>
      <rPr>
        <i/>
        <sz val="9"/>
        <color theme="1"/>
        <rFont val="Bookman Old Style"/>
        <charset val="134"/>
      </rPr>
      <t>Turnover</t>
    </r>
    <r>
      <rPr>
        <sz val="9"/>
        <color theme="1"/>
        <rFont val="Bookman Old Style"/>
        <charset val="134"/>
      </rPr>
      <t xml:space="preserve"> pegawai &gt; 10%, dimana &gt; 50% pegawai inti</t>
    </r>
  </si>
  <si>
    <r>
      <rPr>
        <b/>
        <sz val="9"/>
        <color theme="1"/>
        <rFont val="Bookman Old Style"/>
        <charset val="134"/>
      </rPr>
      <t>Tidak</t>
    </r>
    <r>
      <rPr>
        <sz val="9"/>
        <color theme="1"/>
        <rFont val="Bookman Old Style"/>
        <charset val="134"/>
      </rPr>
      <t xml:space="preserve"> Memiliki POS rekrutmen pegawai</t>
    </r>
  </si>
  <si>
    <r>
      <rPr>
        <i/>
        <sz val="9"/>
        <color theme="1"/>
        <rFont val="Bookman Old Style"/>
        <charset val="134"/>
      </rPr>
      <t>Turnover</t>
    </r>
    <r>
      <rPr>
        <sz val="9"/>
        <color theme="1"/>
        <rFont val="Bookman Old Style"/>
        <charset val="134"/>
      </rPr>
      <t xml:space="preserve"> pegawai berizin &gt; 50%</t>
    </r>
  </si>
  <si>
    <r>
      <rPr>
        <b/>
        <sz val="9"/>
        <color theme="1"/>
        <rFont val="Bookman Old Style"/>
        <charset val="134"/>
      </rPr>
      <t>Tidak</t>
    </r>
    <r>
      <rPr>
        <sz val="9"/>
        <color theme="1"/>
        <rFont val="Bookman Old Style"/>
        <charset val="134"/>
      </rPr>
      <t xml:space="preserve"> Memiliki Kebijakan rekrutmen pegawai</t>
    </r>
  </si>
  <si>
    <r>
      <rPr>
        <sz val="9"/>
        <color theme="1"/>
        <rFont val="Bookman Old Style"/>
        <charset val="134"/>
      </rPr>
      <t xml:space="preserve">Jumlah pegawai </t>
    </r>
    <r>
      <rPr>
        <i/>
        <sz val="9"/>
        <color theme="1"/>
        <rFont val="Bookman Old Style"/>
        <charset val="134"/>
      </rPr>
      <t>outsourcing</t>
    </r>
    <r>
      <rPr>
        <sz val="9"/>
        <color theme="1"/>
        <rFont val="Bookman Old Style"/>
        <charset val="134"/>
      </rPr>
      <t xml:space="preserve"> </t>
    </r>
    <r>
      <rPr>
        <i/>
        <sz val="9"/>
        <color theme="1"/>
        <rFont val="Bookman Old Style"/>
        <charset val="134"/>
      </rPr>
      <t>(remisier</t>
    </r>
    <r>
      <rPr>
        <sz val="9"/>
        <color theme="1"/>
        <rFont val="Bookman Old Style"/>
        <charset val="134"/>
      </rPr>
      <t>) &gt; 50% dari tenaga pemasaran</t>
    </r>
  </si>
  <si>
    <t>Ada Pegawai pada fungsi utama Perusahaan Efek yang diwajibkan berizin tidak memiliki izin WPE</t>
  </si>
  <si>
    <t>2. Human Error</t>
  </si>
  <si>
    <t>Frekuensi kejadian &lt;2 kali dalam 1 tahun</t>
  </si>
  <si>
    <r>
      <rPr>
        <sz val="9"/>
        <color theme="1"/>
        <rFont val="Bookman Old Style"/>
        <charset val="134"/>
      </rPr>
      <t xml:space="preserve">Memiliki </t>
    </r>
    <r>
      <rPr>
        <i/>
        <sz val="9"/>
        <color theme="1"/>
        <rFont val="Bookman Old Style"/>
        <charset val="134"/>
      </rPr>
      <t>Approval</t>
    </r>
    <r>
      <rPr>
        <sz val="9"/>
        <color theme="1"/>
        <rFont val="Bookman Old Style"/>
        <charset val="134"/>
      </rPr>
      <t xml:space="preserve"> berjenjang dalam Proses bisnis </t>
    </r>
    <r>
      <rPr>
        <i/>
        <sz val="9"/>
        <color theme="1"/>
        <rFont val="Bookman Old Style"/>
        <charset val="134"/>
      </rPr>
      <t>(4 eyes)</t>
    </r>
  </si>
  <si>
    <t>Berdampak tidak material</t>
  </si>
  <si>
    <r>
      <rPr>
        <sz val="9"/>
        <color theme="1"/>
        <rFont val="Bookman Old Style"/>
        <charset val="134"/>
      </rPr>
      <t xml:space="preserve">Memberikan </t>
    </r>
    <r>
      <rPr>
        <i/>
        <sz val="9"/>
        <color theme="1"/>
        <rFont val="Bookman Old Style"/>
        <charset val="134"/>
      </rPr>
      <t>training</t>
    </r>
    <r>
      <rPr>
        <sz val="9"/>
        <color theme="1"/>
        <rFont val="Bookman Old Style"/>
        <charset val="134"/>
      </rPr>
      <t xml:space="preserve"> berkala kepada pegawai</t>
    </r>
  </si>
  <si>
    <t>Sanksi 100% ke pelaku</t>
  </si>
  <si>
    <t xml:space="preserve">Frekuensi kejadian 3 kali sd 10 kali </t>
  </si>
  <si>
    <t>Batasan frekuensi 3 kali sd 5 kali diganti 100% oleh pelaku</t>
  </si>
  <si>
    <t>Ada yang berdampak material</t>
  </si>
  <si>
    <t>Batasan frekuensi 6 kali sd 10 kali diganti 100% oleh pelaku</t>
  </si>
  <si>
    <t xml:space="preserve">Frekuensi kejadian &lt;10x </t>
  </si>
  <si>
    <r>
      <rPr>
        <sz val="9"/>
        <color theme="1"/>
        <rFont val="Bookman Old Style"/>
        <charset val="134"/>
      </rPr>
      <t xml:space="preserve">&lt;50% kejadian </t>
    </r>
    <r>
      <rPr>
        <i/>
        <sz val="9"/>
        <color theme="1"/>
        <rFont val="Bookman Old Style"/>
        <charset val="134"/>
      </rPr>
      <t>humar error</t>
    </r>
    <r>
      <rPr>
        <sz val="9"/>
        <color theme="1"/>
        <rFont val="Bookman Old Style"/>
        <charset val="134"/>
      </rPr>
      <t xml:space="preserve"> berdampak material</t>
    </r>
  </si>
  <si>
    <r>
      <rPr>
        <sz val="9"/>
        <color theme="1"/>
        <rFont val="Bookman Old Style"/>
        <charset val="134"/>
      </rPr>
      <t xml:space="preserve">Tidak memberikan </t>
    </r>
    <r>
      <rPr>
        <i/>
        <sz val="9"/>
        <color theme="1"/>
        <rFont val="Bookman Old Style"/>
        <charset val="134"/>
      </rPr>
      <t>training</t>
    </r>
    <r>
      <rPr>
        <sz val="9"/>
        <color theme="1"/>
        <rFont val="Bookman Old Style"/>
        <charset val="134"/>
      </rPr>
      <t xml:space="preserve"> kepada pegawai</t>
    </r>
  </si>
  <si>
    <t>Batasan frekuensi &gt;10 kali diganti 50% oleh pelaku</t>
  </si>
  <si>
    <t xml:space="preserve">Frekuensi kejadian &gt;10x </t>
  </si>
  <si>
    <r>
      <rPr>
        <sz val="9"/>
        <color theme="1"/>
        <rFont val="Bookman Old Style"/>
        <charset val="134"/>
      </rPr>
      <t xml:space="preserve">Tidak memiliki </t>
    </r>
    <r>
      <rPr>
        <i/>
        <sz val="9"/>
        <color theme="1"/>
        <rFont val="Bookman Old Style"/>
        <charset val="134"/>
      </rPr>
      <t>Approval</t>
    </r>
    <r>
      <rPr>
        <sz val="9"/>
        <color theme="1"/>
        <rFont val="Bookman Old Style"/>
        <charset val="134"/>
      </rPr>
      <t xml:space="preserve"> berjenjang dalam Proses bisnis </t>
    </r>
    <r>
      <rPr>
        <i/>
        <sz val="9"/>
        <color theme="1"/>
        <rFont val="Bookman Old Style"/>
        <charset val="134"/>
      </rPr>
      <t>(4 eyes)</t>
    </r>
  </si>
  <si>
    <r>
      <rPr>
        <sz val="9"/>
        <color theme="1"/>
        <rFont val="Bookman Old Style"/>
        <charset val="134"/>
      </rPr>
      <t xml:space="preserve">&gt;50% kejadian </t>
    </r>
    <r>
      <rPr>
        <i/>
        <sz val="9"/>
        <color theme="1"/>
        <rFont val="Bookman Old Style"/>
        <charset val="134"/>
      </rPr>
      <t>human error</t>
    </r>
    <r>
      <rPr>
        <sz val="9"/>
        <color theme="1"/>
        <rFont val="Bookman Old Style"/>
        <charset val="134"/>
      </rPr>
      <t xml:space="preserve"> berdampak material</t>
    </r>
  </si>
  <si>
    <t>Sanksi 0% ke pelaku</t>
  </si>
  <si>
    <t>3. Fraud</t>
  </si>
  <si>
    <r>
      <rPr>
        <sz val="9"/>
        <color theme="1"/>
        <rFont val="Bookman Old Style"/>
        <charset val="134"/>
      </rPr>
      <t xml:space="preserve">Tidak pernah terjadi </t>
    </r>
    <r>
      <rPr>
        <i/>
        <sz val="9"/>
        <color theme="1"/>
        <rFont val="Bookman Old Style"/>
        <charset val="134"/>
      </rPr>
      <t>fraud</t>
    </r>
  </si>
  <si>
    <r>
      <rPr>
        <sz val="9"/>
        <color theme="1"/>
        <rFont val="Bookman Old Style"/>
        <charset val="134"/>
      </rPr>
      <t xml:space="preserve">Memiliki kebijakan tertulis mengenai </t>
    </r>
    <r>
      <rPr>
        <i/>
        <sz val="9"/>
        <color theme="1"/>
        <rFont val="Bookman Old Style"/>
        <charset val="134"/>
      </rPr>
      <t xml:space="preserve">anti fraud/ </t>
    </r>
    <r>
      <rPr>
        <sz val="9"/>
        <color theme="1"/>
        <rFont val="Bookman Old Style"/>
        <charset val="134"/>
      </rPr>
      <t>penanganan</t>
    </r>
    <r>
      <rPr>
        <i/>
        <sz val="9"/>
        <color theme="1"/>
        <rFont val="Bookman Old Style"/>
        <charset val="134"/>
      </rPr>
      <t xml:space="preserve"> fraud</t>
    </r>
  </si>
  <si>
    <r>
      <rPr>
        <sz val="9"/>
        <color theme="1"/>
        <rFont val="Bookman Old Style"/>
        <charset val="134"/>
      </rPr>
      <t xml:space="preserve">Memiliki POS mengenai </t>
    </r>
    <r>
      <rPr>
        <i/>
        <sz val="9"/>
        <color theme="1"/>
        <rFont val="Bookman Old Style"/>
        <charset val="134"/>
      </rPr>
      <t>anti fraud</t>
    </r>
    <r>
      <rPr>
        <sz val="9"/>
        <color theme="1"/>
        <rFont val="Bookman Old Style"/>
        <charset val="134"/>
      </rPr>
      <t xml:space="preserve">/penanganan </t>
    </r>
    <r>
      <rPr>
        <i/>
        <sz val="9"/>
        <color theme="1"/>
        <rFont val="Bookman Old Style"/>
        <charset val="134"/>
      </rPr>
      <t>fraud</t>
    </r>
  </si>
  <si>
    <r>
      <rPr>
        <sz val="9"/>
        <color theme="1"/>
        <rFont val="Bookman Old Style"/>
        <charset val="134"/>
      </rPr>
      <t xml:space="preserve">POS dan/atau kebijakan tertulis mengenai </t>
    </r>
    <r>
      <rPr>
        <i/>
        <sz val="9"/>
        <color theme="1"/>
        <rFont val="Bookman Old Style"/>
        <charset val="134"/>
      </rPr>
      <t>anti fraud</t>
    </r>
    <r>
      <rPr>
        <sz val="9"/>
        <color theme="1"/>
        <rFont val="Bookman Old Style"/>
        <charset val="134"/>
      </rPr>
      <t xml:space="preserve">/ penanganan </t>
    </r>
    <r>
      <rPr>
        <i/>
        <sz val="9"/>
        <color theme="1"/>
        <rFont val="Bookman Old Style"/>
        <charset val="134"/>
      </rPr>
      <t>fraud</t>
    </r>
    <r>
      <rPr>
        <sz val="9"/>
        <color theme="1"/>
        <rFont val="Bookman Old Style"/>
        <charset val="134"/>
      </rPr>
      <t xml:space="preserve"> telah diimplementasikan, diawasi, dan diperiksa</t>
    </r>
  </si>
  <si>
    <r>
      <rPr>
        <sz val="9"/>
        <color theme="1"/>
        <rFont val="Bookman Old Style"/>
        <charset val="134"/>
      </rPr>
      <t xml:space="preserve">POS dan/atau kebijakan tertulis mengenai </t>
    </r>
    <r>
      <rPr>
        <i/>
        <sz val="9"/>
        <color theme="1"/>
        <rFont val="Bookman Old Style"/>
        <charset val="134"/>
      </rPr>
      <t>anti fraud</t>
    </r>
    <r>
      <rPr>
        <sz val="9"/>
        <color theme="1"/>
        <rFont val="Bookman Old Style"/>
        <charset val="134"/>
      </rPr>
      <t xml:space="preserve">/ penanganan </t>
    </r>
    <r>
      <rPr>
        <i/>
        <sz val="9"/>
        <color theme="1"/>
        <rFont val="Bookman Old Style"/>
        <charset val="134"/>
      </rPr>
      <t>fraud</t>
    </r>
    <r>
      <rPr>
        <sz val="9"/>
        <color theme="1"/>
        <rFont val="Bookman Old Style"/>
        <charset val="134"/>
      </rPr>
      <t xml:space="preserve"> di reviu berkala dan diperbarui</t>
    </r>
  </si>
  <si>
    <r>
      <rPr>
        <sz val="9"/>
        <color theme="1"/>
        <rFont val="Bookman Old Style"/>
        <charset val="134"/>
      </rPr>
      <t xml:space="preserve">Langkah perbaikan akibat </t>
    </r>
    <r>
      <rPr>
        <i/>
        <sz val="9"/>
        <color theme="1"/>
        <rFont val="Bookman Old Style"/>
        <charset val="134"/>
      </rPr>
      <t>fraud</t>
    </r>
    <r>
      <rPr>
        <sz val="9"/>
        <color theme="1"/>
        <rFont val="Bookman Old Style"/>
        <charset val="134"/>
      </rPr>
      <t xml:space="preserve"> cepat dan komprehensif</t>
    </r>
  </si>
  <si>
    <r>
      <rPr>
        <sz val="9"/>
        <color theme="1"/>
        <rFont val="Bookman Old Style"/>
        <charset val="134"/>
      </rPr>
      <t xml:space="preserve">Memiliki kebijakan mitigasi </t>
    </r>
    <r>
      <rPr>
        <i/>
        <sz val="9"/>
        <color theme="1"/>
        <rFont val="Bookman Old Style"/>
        <charset val="134"/>
      </rPr>
      <t>insider trading</t>
    </r>
  </si>
  <si>
    <t>g.</t>
  </si>
  <si>
    <t>Memiliki Kebijakan ganti rugi akibat fraud</t>
  </si>
  <si>
    <t>h.</t>
  </si>
  <si>
    <t>Memiliki sanksi yang tegas, konsisten dan progresif</t>
  </si>
  <si>
    <t>i.</t>
  </si>
  <si>
    <r>
      <rPr>
        <sz val="9"/>
        <color theme="1"/>
        <rFont val="Bookman Old Style"/>
        <charset val="134"/>
      </rPr>
      <t xml:space="preserve">Memiliki kebijakan </t>
    </r>
    <r>
      <rPr>
        <i/>
        <sz val="9"/>
        <color theme="1"/>
        <rFont val="Bookman Old Style"/>
        <charset val="134"/>
      </rPr>
      <t>block leave</t>
    </r>
  </si>
  <si>
    <r>
      <rPr>
        <sz val="9"/>
        <color theme="1"/>
        <rFont val="Bookman Old Style"/>
        <charset val="134"/>
      </rPr>
      <t xml:space="preserve">POS dan/atau kebijakan tertulis mengenai </t>
    </r>
    <r>
      <rPr>
        <i/>
        <sz val="9"/>
        <color theme="1"/>
        <rFont val="Bookman Old Style"/>
        <charset val="134"/>
      </rPr>
      <t>anti fraud</t>
    </r>
    <r>
      <rPr>
        <sz val="9"/>
        <color theme="1"/>
        <rFont val="Bookman Old Style"/>
        <charset val="134"/>
      </rPr>
      <t xml:space="preserve">/ penanganan </t>
    </r>
    <r>
      <rPr>
        <i/>
        <sz val="9"/>
        <color theme="1"/>
        <rFont val="Bookman Old Style"/>
        <charset val="134"/>
      </rPr>
      <t>fraud</t>
    </r>
    <r>
      <rPr>
        <sz val="9"/>
        <color theme="1"/>
        <rFont val="Bookman Old Style"/>
        <charset val="134"/>
      </rPr>
      <t xml:space="preserve"> di reviu secara insidentil dan diperbarui</t>
    </r>
  </si>
  <si>
    <r>
      <rPr>
        <sz val="9"/>
        <color theme="1"/>
        <rFont val="Bookman Old Style"/>
        <charset val="134"/>
      </rPr>
      <t xml:space="preserve">Langkah perbaikan akibat </t>
    </r>
    <r>
      <rPr>
        <i/>
        <sz val="9"/>
        <color theme="1"/>
        <rFont val="Bookman Old Style"/>
        <charset val="134"/>
      </rPr>
      <t>fraud</t>
    </r>
    <r>
      <rPr>
        <sz val="9"/>
        <color theme="1"/>
        <rFont val="Bookman Old Style"/>
        <charset val="134"/>
      </rPr>
      <t xml:space="preserve"> </t>
    </r>
    <r>
      <rPr>
        <b/>
        <sz val="9"/>
        <color theme="1"/>
        <rFont val="Bookman Old Style"/>
        <charset val="134"/>
      </rPr>
      <t>lambat</t>
    </r>
    <r>
      <rPr>
        <sz val="9"/>
        <color theme="1"/>
        <rFont val="Bookman Old Style"/>
        <charset val="134"/>
      </rPr>
      <t xml:space="preserve"> dan </t>
    </r>
    <r>
      <rPr>
        <b/>
        <sz val="9"/>
        <color theme="1"/>
        <rFont val="Bookman Old Style"/>
        <charset val="134"/>
      </rPr>
      <t>tidak</t>
    </r>
    <r>
      <rPr>
        <sz val="9"/>
        <color theme="1"/>
        <rFont val="Bookman Old Style"/>
        <charset val="134"/>
      </rPr>
      <t xml:space="preserve"> komprehensif</t>
    </r>
  </si>
  <si>
    <r>
      <rPr>
        <sz val="9"/>
        <color theme="1"/>
        <rFont val="Bookman Old Style"/>
        <charset val="134"/>
      </rPr>
      <t xml:space="preserve">Memiliki Kebijakan ganti rugi akibat </t>
    </r>
    <r>
      <rPr>
        <i/>
        <sz val="9"/>
        <color theme="1"/>
        <rFont val="Bookman Old Style"/>
        <charset val="134"/>
      </rPr>
      <t>fraud</t>
    </r>
  </si>
  <si>
    <r>
      <rPr>
        <b/>
        <sz val="9"/>
        <color theme="1"/>
        <rFont val="Bookman Old Style"/>
        <charset val="134"/>
      </rPr>
      <t>Tidak</t>
    </r>
    <r>
      <rPr>
        <sz val="9"/>
        <color theme="1"/>
        <rFont val="Bookman Old Style"/>
        <charset val="134"/>
      </rPr>
      <t xml:space="preserve"> memiliki kebijakan </t>
    </r>
    <r>
      <rPr>
        <i/>
        <sz val="9"/>
        <color theme="1"/>
        <rFont val="Bookman Old Style"/>
        <charset val="134"/>
      </rPr>
      <t>block leave</t>
    </r>
  </si>
  <si>
    <r>
      <rPr>
        <sz val="9"/>
        <color theme="1"/>
        <rFont val="Bookman Old Style"/>
        <charset val="134"/>
      </rPr>
      <t xml:space="preserve">Terjadi </t>
    </r>
    <r>
      <rPr>
        <i/>
        <sz val="9"/>
        <color theme="1"/>
        <rFont val="Bookman Old Style"/>
        <charset val="134"/>
      </rPr>
      <t>fraud</t>
    </r>
    <r>
      <rPr>
        <sz val="9"/>
        <color theme="1"/>
        <rFont val="Bookman Old Style"/>
        <charset val="134"/>
      </rPr>
      <t xml:space="preserve"> </t>
    </r>
  </si>
  <si>
    <t xml:space="preserve">Nilai kerugian tidak signifikan sehingga apabila PE mengalami kerugian, tidak mengakibatkan rata-rata Nilai  MKBD PE  berada dalam kondisi EWS &lt;120% (Nilai kerugian/( rata-rata MKBD setelah dikurangi nilai minimum yang dipersyaratkan selama 6 bulan)) </t>
  </si>
  <si>
    <r>
      <rPr>
        <sz val="9"/>
        <color theme="1"/>
        <rFont val="Bookman Old Style"/>
        <charset val="134"/>
      </rPr>
      <t xml:space="preserve">Langkah perbaikan akibat fraud </t>
    </r>
    <r>
      <rPr>
        <b/>
        <sz val="9"/>
        <color theme="1"/>
        <rFont val="Bookman Old Style"/>
        <charset val="134"/>
      </rPr>
      <t>lambat</t>
    </r>
    <r>
      <rPr>
        <sz val="9"/>
        <color theme="1"/>
        <rFont val="Bookman Old Style"/>
        <charset val="134"/>
      </rPr>
      <t xml:space="preserve"> dan </t>
    </r>
    <r>
      <rPr>
        <b/>
        <sz val="9"/>
        <color theme="1"/>
        <rFont val="Bookman Old Style"/>
        <charset val="134"/>
      </rPr>
      <t>tidak</t>
    </r>
    <r>
      <rPr>
        <sz val="9"/>
        <color theme="1"/>
        <rFont val="Bookman Old Style"/>
        <charset val="134"/>
      </rPr>
      <t xml:space="preserve"> komprehensif</t>
    </r>
  </si>
  <si>
    <r>
      <rPr>
        <b/>
        <sz val="9"/>
        <color theme="1"/>
        <rFont val="Bookman Old Style"/>
        <charset val="134"/>
      </rPr>
      <t>Tidak</t>
    </r>
    <r>
      <rPr>
        <sz val="9"/>
        <color theme="1"/>
        <rFont val="Bookman Old Style"/>
        <charset val="134"/>
      </rPr>
      <t xml:space="preserve"> Memiliki Kebijakan ganti rugi akibat </t>
    </r>
    <r>
      <rPr>
        <i/>
        <sz val="9"/>
        <color theme="1"/>
        <rFont val="Bookman Old Style"/>
        <charset val="134"/>
      </rPr>
      <t>fraud</t>
    </r>
  </si>
  <si>
    <r>
      <rPr>
        <b/>
        <sz val="9"/>
        <color theme="1"/>
        <rFont val="Bookman Old Style"/>
        <charset val="134"/>
      </rPr>
      <t>Tidak</t>
    </r>
    <r>
      <rPr>
        <sz val="9"/>
        <color theme="1"/>
        <rFont val="Bookman Old Style"/>
        <charset val="134"/>
      </rPr>
      <t xml:space="preserve"> Memiliki sanksi yang tegas, konsisten dan progresif</t>
    </r>
  </si>
  <si>
    <r>
      <rPr>
        <sz val="9"/>
        <color theme="1"/>
        <rFont val="Bookman Old Style"/>
        <charset val="134"/>
      </rPr>
      <t xml:space="preserve">Terjadi </t>
    </r>
    <r>
      <rPr>
        <i/>
        <sz val="9"/>
        <color theme="1"/>
        <rFont val="Bookman Old Style"/>
        <charset val="134"/>
      </rPr>
      <t>fraud</t>
    </r>
  </si>
  <si>
    <r>
      <rPr>
        <sz val="9"/>
        <color theme="1"/>
        <rFont val="Bookman Old Style"/>
        <charset val="134"/>
      </rPr>
      <t xml:space="preserve">Memiliki kebijakan </t>
    </r>
    <r>
      <rPr>
        <i/>
        <sz val="9"/>
        <color theme="1"/>
        <rFont val="Bookman Old Style"/>
        <charset val="134"/>
      </rPr>
      <t>anti fraud</t>
    </r>
    <r>
      <rPr>
        <sz val="9"/>
        <color theme="1"/>
        <rFont val="Bookman Old Style"/>
        <charset val="134"/>
      </rPr>
      <t xml:space="preserve">/ penanganan </t>
    </r>
    <r>
      <rPr>
        <i/>
        <sz val="9"/>
        <color theme="1"/>
        <rFont val="Bookman Old Style"/>
        <charset val="134"/>
      </rPr>
      <t>fraud</t>
    </r>
  </si>
  <si>
    <t>Nilai kerugian sangat signifikan sehingga apabila PE mengalami kerugian yang  mengakibatkan rata-rata Nilai  MKBD PE  berada dalam kondisi EWS &lt;120% (Nilai kerugian/( rata-rata MKBD setelah dikurangi nilai minimum yang dipersyaratkan selama 6 bulan))</t>
  </si>
  <si>
    <r>
      <rPr>
        <b/>
        <sz val="9"/>
        <color theme="1"/>
        <rFont val="Bookman Old Style"/>
        <charset val="134"/>
      </rPr>
      <t>Tidak</t>
    </r>
    <r>
      <rPr>
        <sz val="9"/>
        <color theme="1"/>
        <rFont val="Bookman Old Style"/>
        <charset val="134"/>
      </rPr>
      <t xml:space="preserve"> Memiliki POS mengenai </t>
    </r>
    <r>
      <rPr>
        <i/>
        <sz val="9"/>
        <color theme="1"/>
        <rFont val="Bookman Old Style"/>
        <charset val="134"/>
      </rPr>
      <t>anti fraud</t>
    </r>
    <r>
      <rPr>
        <sz val="9"/>
        <color theme="1"/>
        <rFont val="Bookman Old Style"/>
        <charset val="134"/>
      </rPr>
      <t xml:space="preserve">/penanganan </t>
    </r>
    <r>
      <rPr>
        <i/>
        <sz val="9"/>
        <color theme="1"/>
        <rFont val="Bookman Old Style"/>
        <charset val="134"/>
      </rPr>
      <t>fraud</t>
    </r>
  </si>
  <si>
    <r>
      <rPr>
        <b/>
        <sz val="9"/>
        <color theme="1"/>
        <rFont val="Bookman Old Style"/>
        <charset val="134"/>
      </rPr>
      <t>Tidak</t>
    </r>
    <r>
      <rPr>
        <sz val="9"/>
        <color theme="1"/>
        <rFont val="Bookman Old Style"/>
        <charset val="134"/>
      </rPr>
      <t xml:space="preserve"> ada Langkah perbaikan akibat </t>
    </r>
    <r>
      <rPr>
        <i/>
        <sz val="9"/>
        <color theme="1"/>
        <rFont val="Bookman Old Style"/>
        <charset val="134"/>
      </rPr>
      <t>fraud</t>
    </r>
  </si>
  <si>
    <r>
      <rPr>
        <sz val="9"/>
        <color theme="1"/>
        <rFont val="Bookman Old Style"/>
        <charset val="134"/>
      </rPr>
      <t>T</t>
    </r>
    <r>
      <rPr>
        <b/>
        <sz val="9"/>
        <color theme="1"/>
        <rFont val="Bookman Old Style"/>
        <charset val="134"/>
      </rPr>
      <t>idak</t>
    </r>
    <r>
      <rPr>
        <sz val="9"/>
        <color theme="1"/>
        <rFont val="Bookman Old Style"/>
        <charset val="134"/>
      </rPr>
      <t xml:space="preserve"> Memiliki Kebijakan ganti rugi akibat </t>
    </r>
    <r>
      <rPr>
        <i/>
        <sz val="9"/>
        <color theme="1"/>
        <rFont val="Bookman Old Style"/>
        <charset val="134"/>
      </rPr>
      <t>fraud</t>
    </r>
  </si>
  <si>
    <r>
      <rPr>
        <b/>
        <sz val="9"/>
        <color theme="1"/>
        <rFont val="Bookman Old Style"/>
        <charset val="134"/>
      </rPr>
      <t>Tidak</t>
    </r>
    <r>
      <rPr>
        <sz val="9"/>
        <color theme="1"/>
        <rFont val="Bookman Old Style"/>
        <charset val="134"/>
      </rPr>
      <t xml:space="preserve"> Memiliki kebijakan </t>
    </r>
    <r>
      <rPr>
        <i/>
        <sz val="9"/>
        <color theme="1"/>
        <rFont val="Bookman Old Style"/>
        <charset val="134"/>
      </rPr>
      <t>anti fraud</t>
    </r>
    <r>
      <rPr>
        <sz val="9"/>
        <color theme="1"/>
        <rFont val="Bookman Old Style"/>
        <charset val="134"/>
      </rPr>
      <t xml:space="preserve">/ penanganan </t>
    </r>
    <r>
      <rPr>
        <i/>
        <sz val="9"/>
        <color theme="1"/>
        <rFont val="Bookman Old Style"/>
        <charset val="134"/>
      </rPr>
      <t>fraud</t>
    </r>
  </si>
  <si>
    <t>Nilai kerugian sangat signifikan sehingga apabila PE mengalami kerugian yang mengakibatkan rata-rata Nilai  MKBD PE tidak memenuhi ketentuan (Nilai kerugian/( rata-rata MKBD setelah dikurangi nilai minimum yang dipersyaratkan selama 6 bulan))</t>
  </si>
  <si>
    <r>
      <rPr>
        <b/>
        <sz val="9"/>
        <color theme="1"/>
        <rFont val="Bookman Old Style"/>
        <charset val="134"/>
      </rPr>
      <t>Tidak</t>
    </r>
    <r>
      <rPr>
        <sz val="9"/>
        <color theme="1"/>
        <rFont val="Bookman Old Style"/>
        <charset val="134"/>
      </rPr>
      <t xml:space="preserve"> Memiliki kebijakan mitigasi </t>
    </r>
    <r>
      <rPr>
        <i/>
        <sz val="9"/>
        <color theme="1"/>
        <rFont val="Bookman Old Style"/>
        <charset val="134"/>
      </rPr>
      <t>insider trading</t>
    </r>
  </si>
  <si>
    <t>III. Teknologi Informasi</t>
  </si>
  <si>
    <t>1. Kegagalan sistem ketika meneruskan pesanan perdagangan (FO)</t>
  </si>
  <si>
    <t>Kompleksitas produk dan transaksi peringkat 1</t>
  </si>
  <si>
    <r>
      <rPr>
        <sz val="9"/>
        <color theme="1"/>
        <rFont val="Bookman Old Style"/>
        <charset val="134"/>
      </rPr>
      <t>Frekuensi pengujian kapasitas FO (</t>
    </r>
    <r>
      <rPr>
        <i/>
        <sz val="9"/>
        <color theme="1"/>
        <rFont val="Bookman Old Style"/>
        <charset val="134"/>
      </rPr>
      <t>Mock Trading</t>
    </r>
    <r>
      <rPr>
        <sz val="9"/>
        <color theme="1"/>
        <rFont val="Bookman Old Style"/>
        <charset val="134"/>
      </rPr>
      <t xml:space="preserve">) sesuai kebutuhan, </t>
    </r>
    <r>
      <rPr>
        <b/>
        <sz val="9"/>
        <color theme="1"/>
        <rFont val="Bookman Old Style"/>
        <charset val="134"/>
      </rPr>
      <t>lebih sering</t>
    </r>
    <r>
      <rPr>
        <sz val="9"/>
        <color theme="1"/>
        <rFont val="Bookman Old Style"/>
        <charset val="134"/>
      </rPr>
      <t xml:space="preserve"> dari </t>
    </r>
    <r>
      <rPr>
        <i/>
        <sz val="9"/>
        <color theme="1"/>
        <rFont val="Bookman Old Style"/>
        <charset val="134"/>
      </rPr>
      <t>mock</t>
    </r>
    <r>
      <rPr>
        <sz val="9"/>
        <color theme="1"/>
        <rFont val="Bookman Old Style"/>
        <charset val="134"/>
      </rPr>
      <t xml:space="preserve"> </t>
    </r>
    <r>
      <rPr>
        <i/>
        <sz val="9"/>
        <color theme="1"/>
        <rFont val="Bookman Old Style"/>
        <charset val="134"/>
      </rPr>
      <t>trading</t>
    </r>
    <r>
      <rPr>
        <sz val="9"/>
        <color theme="1"/>
        <rFont val="Bookman Old Style"/>
        <charset val="134"/>
      </rPr>
      <t xml:space="preserve"> wajib di BEI</t>
    </r>
  </si>
  <si>
    <r>
      <rPr>
        <sz val="9"/>
        <color theme="1"/>
        <rFont val="Bookman Old Style"/>
        <charset val="134"/>
      </rPr>
      <t xml:space="preserve">Mempunyai koneksi lebih dari yang dipersyaratkan BEI (minimal ada 1 </t>
    </r>
    <r>
      <rPr>
        <i/>
        <sz val="9"/>
        <color theme="1"/>
        <rFont val="Bookman Old Style"/>
        <charset val="134"/>
      </rPr>
      <t>back up connection</t>
    </r>
    <r>
      <rPr>
        <sz val="9"/>
        <color theme="1"/>
        <rFont val="Bookman Old Style"/>
        <charset val="134"/>
      </rPr>
      <t>)</t>
    </r>
  </si>
  <si>
    <r>
      <rPr>
        <i/>
        <sz val="9"/>
        <color theme="1"/>
        <rFont val="Bookman Old Style"/>
        <charset val="134"/>
      </rPr>
      <t>Maintenance</t>
    </r>
    <r>
      <rPr>
        <sz val="9"/>
        <color theme="1"/>
        <rFont val="Bookman Old Style"/>
        <charset val="134"/>
      </rPr>
      <t xml:space="preserve"> dilakukan secara </t>
    </r>
    <r>
      <rPr>
        <b/>
        <sz val="9"/>
        <color theme="1"/>
        <rFont val="Bookman Old Style"/>
        <charset val="134"/>
      </rPr>
      <t>berkala sampai dengan sebulan sekali</t>
    </r>
  </si>
  <si>
    <t>Kompleksitas layanan jasa perdagangan peringkat 1</t>
  </si>
  <si>
    <r>
      <rPr>
        <sz val="9"/>
        <color theme="1"/>
        <rFont val="Bookman Old Style"/>
        <charset val="134"/>
      </rPr>
      <t xml:space="preserve">Memiliki </t>
    </r>
    <r>
      <rPr>
        <i/>
        <sz val="9"/>
        <color theme="1"/>
        <rFont val="Bookman Old Style"/>
        <charset val="134"/>
      </rPr>
      <t>Business Continuity Plan</t>
    </r>
    <r>
      <rPr>
        <sz val="9"/>
        <color theme="1"/>
        <rFont val="Bookman Old Style"/>
        <charset val="134"/>
      </rPr>
      <t xml:space="preserve"> (BCP) terkait sistem front office dan back office</t>
    </r>
  </si>
  <si>
    <t>SDM Teknologi &amp; Informasi cepat dalam menyelesaikan permasalahan Teknologi &amp; Informasi</t>
  </si>
  <si>
    <t>Dokumentasi Permasalahan Teknologi &amp; Informasi</t>
  </si>
  <si>
    <t>Kompleksitas produk dan transaksi peringkat 2</t>
  </si>
  <si>
    <r>
      <rPr>
        <sz val="9"/>
        <color theme="1"/>
        <rFont val="Bookman Old Style"/>
        <charset val="134"/>
      </rPr>
      <t>Frekuensi pengujian kapasitas FO (</t>
    </r>
    <r>
      <rPr>
        <i/>
        <sz val="9"/>
        <color theme="1"/>
        <rFont val="Bookman Old Style"/>
        <charset val="134"/>
      </rPr>
      <t>Mock Trading</t>
    </r>
    <r>
      <rPr>
        <sz val="9"/>
        <color theme="1"/>
        <rFont val="Bookman Old Style"/>
        <charset val="134"/>
      </rPr>
      <t xml:space="preserve">) </t>
    </r>
    <r>
      <rPr>
        <b/>
        <sz val="9"/>
        <color theme="1"/>
        <rFont val="Bookman Old Style"/>
        <charset val="134"/>
      </rPr>
      <t>sesuai</t>
    </r>
    <r>
      <rPr>
        <sz val="9"/>
        <color theme="1"/>
        <rFont val="Bookman Old Style"/>
        <charset val="134"/>
      </rPr>
      <t xml:space="preserve"> dengan </t>
    </r>
    <r>
      <rPr>
        <i/>
        <sz val="9"/>
        <color theme="1"/>
        <rFont val="Bookman Old Style"/>
        <charset val="134"/>
      </rPr>
      <t>mock</t>
    </r>
    <r>
      <rPr>
        <sz val="9"/>
        <color theme="1"/>
        <rFont val="Bookman Old Style"/>
        <charset val="134"/>
      </rPr>
      <t xml:space="preserve"> </t>
    </r>
    <r>
      <rPr>
        <i/>
        <sz val="9"/>
        <color theme="1"/>
        <rFont val="Bookman Old Style"/>
        <charset val="134"/>
      </rPr>
      <t>trading</t>
    </r>
    <r>
      <rPr>
        <sz val="9"/>
        <color theme="1"/>
        <rFont val="Bookman Old Style"/>
        <charset val="134"/>
      </rPr>
      <t xml:space="preserve"> wajib di BEI</t>
    </r>
  </si>
  <si>
    <r>
      <rPr>
        <i/>
        <sz val="9"/>
        <color theme="1"/>
        <rFont val="Bookman Old Style"/>
        <charset val="134"/>
      </rPr>
      <t>Maintenance</t>
    </r>
    <r>
      <rPr>
        <sz val="9"/>
        <color theme="1"/>
        <rFont val="Bookman Old Style"/>
        <charset val="134"/>
      </rPr>
      <t xml:space="preserve"> berkala </t>
    </r>
    <r>
      <rPr>
        <b/>
        <sz val="9"/>
        <color theme="1"/>
        <rFont val="Bookman Old Style"/>
        <charset val="134"/>
      </rPr>
      <t xml:space="preserve">1 bulan s.d 3 bulan sekali </t>
    </r>
  </si>
  <si>
    <t>Kompleksitas layanan jasa perdagangan peringkat 2</t>
  </si>
  <si>
    <t>SDM Teknologi &amp; Informasi dan vendor cepat dalam menyelesaikan permasalahan Teknologi &amp; Informasi</t>
  </si>
  <si>
    <t>Kompleksitas produk dan transaksi peringkat 3</t>
  </si>
  <si>
    <r>
      <rPr>
        <sz val="9"/>
        <color theme="1"/>
        <rFont val="Bookman Old Style"/>
        <charset val="134"/>
      </rPr>
      <t>Frekuensi pengujian kapasitas FO (</t>
    </r>
    <r>
      <rPr>
        <i/>
        <sz val="9"/>
        <color theme="1"/>
        <rFont val="Bookman Old Style"/>
        <charset val="134"/>
      </rPr>
      <t>Mock Trading</t>
    </r>
    <r>
      <rPr>
        <sz val="9"/>
        <color theme="1"/>
        <rFont val="Bookman Old Style"/>
        <charset val="134"/>
      </rPr>
      <t xml:space="preserve">) </t>
    </r>
    <r>
      <rPr>
        <b/>
        <sz val="9"/>
        <color theme="1"/>
        <rFont val="Bookman Old Style"/>
        <charset val="134"/>
      </rPr>
      <t>kurang dari</t>
    </r>
    <r>
      <rPr>
        <sz val="9"/>
        <color theme="1"/>
        <rFont val="Bookman Old Style"/>
        <charset val="134"/>
      </rPr>
      <t xml:space="preserve"> </t>
    </r>
    <r>
      <rPr>
        <i/>
        <sz val="9"/>
        <color theme="1"/>
        <rFont val="Bookman Old Style"/>
        <charset val="134"/>
      </rPr>
      <t>mock</t>
    </r>
    <r>
      <rPr>
        <sz val="9"/>
        <color theme="1"/>
        <rFont val="Bookman Old Style"/>
        <charset val="134"/>
      </rPr>
      <t xml:space="preserve"> </t>
    </r>
    <r>
      <rPr>
        <i/>
        <sz val="9"/>
        <color theme="1"/>
        <rFont val="Bookman Old Style"/>
        <charset val="134"/>
      </rPr>
      <t>trading</t>
    </r>
    <r>
      <rPr>
        <sz val="9"/>
        <color theme="1"/>
        <rFont val="Bookman Old Style"/>
        <charset val="134"/>
      </rPr>
      <t xml:space="preserve"> wajib di BEI</t>
    </r>
  </si>
  <si>
    <t>Mempunyai koneksi lebih dari 1 (back up connection)</t>
  </si>
  <si>
    <r>
      <rPr>
        <sz val="9"/>
        <color theme="1"/>
        <rFont val="Bookman Old Style"/>
        <charset val="134"/>
      </rPr>
      <t xml:space="preserve">Maintenance sistem berkala </t>
    </r>
    <r>
      <rPr>
        <b/>
        <sz val="9"/>
        <color theme="1"/>
        <rFont val="Bookman Old Style"/>
        <charset val="134"/>
      </rPr>
      <t>3 bulan s.d 6 bulan sekali</t>
    </r>
  </si>
  <si>
    <t>Kompleksitas layanan jasa perdagangan peringkat 3</t>
  </si>
  <si>
    <r>
      <rPr>
        <sz val="9"/>
        <color theme="1"/>
        <rFont val="Bookman Old Style"/>
        <charset val="134"/>
      </rPr>
      <t xml:space="preserve">SDM Teknologi &amp; Informasi </t>
    </r>
    <r>
      <rPr>
        <b/>
        <sz val="9"/>
        <color theme="1"/>
        <rFont val="Bookman Old Style"/>
        <charset val="134"/>
      </rPr>
      <t>lambat</t>
    </r>
    <r>
      <rPr>
        <sz val="9"/>
        <color theme="1"/>
        <rFont val="Bookman Old Style"/>
        <charset val="134"/>
      </rPr>
      <t xml:space="preserve"> dalam menyelesaikan permasalahan Teknologi &amp; Informasi</t>
    </r>
  </si>
  <si>
    <t>Kompleksitas produk dan transaksi peringkat 4</t>
  </si>
  <si>
    <r>
      <rPr>
        <sz val="9"/>
        <color theme="1"/>
        <rFont val="Bookman Old Style"/>
        <charset val="134"/>
      </rPr>
      <t>Mempunyai koneksi lebih dari 1 (</t>
    </r>
    <r>
      <rPr>
        <i/>
        <sz val="9"/>
        <color theme="1"/>
        <rFont val="Bookman Old Style"/>
        <charset val="134"/>
      </rPr>
      <t>back up connection</t>
    </r>
    <r>
      <rPr>
        <sz val="9"/>
        <color theme="1"/>
        <rFont val="Bookman Old Style"/>
        <charset val="134"/>
      </rPr>
      <t>)</t>
    </r>
  </si>
  <si>
    <r>
      <rPr>
        <i/>
        <sz val="9"/>
        <color theme="1"/>
        <rFont val="Bookman Old Style"/>
        <charset val="134"/>
      </rPr>
      <t>Maintenance</t>
    </r>
    <r>
      <rPr>
        <sz val="9"/>
        <color theme="1"/>
        <rFont val="Bookman Old Style"/>
        <charset val="134"/>
      </rPr>
      <t xml:space="preserve"> sistem berkala </t>
    </r>
    <r>
      <rPr>
        <b/>
        <sz val="9"/>
        <color theme="1"/>
        <rFont val="Bookman Old Style"/>
        <charset val="134"/>
      </rPr>
      <t>&gt;6 bulan sekali</t>
    </r>
  </si>
  <si>
    <t>Kompleksitas layanan jasa perdagangan peringkat 4</t>
  </si>
  <si>
    <r>
      <rPr>
        <sz val="9"/>
        <color theme="1"/>
        <rFont val="Bookman Old Style"/>
        <charset val="134"/>
      </rPr>
      <t xml:space="preserve">SDM Teknologi &amp; Informasi </t>
    </r>
    <r>
      <rPr>
        <b/>
        <sz val="9"/>
        <color theme="1"/>
        <rFont val="Bookman Old Style"/>
        <charset val="134"/>
      </rPr>
      <t>lambat</t>
    </r>
    <r>
      <rPr>
        <sz val="9"/>
        <color theme="1"/>
        <rFont val="Bookman Old Style"/>
        <charset val="134"/>
      </rPr>
      <t xml:space="preserve"> mengeskalasi ke vendor namun</t>
    </r>
    <r>
      <rPr>
        <b/>
        <sz val="9"/>
        <color theme="1"/>
        <rFont val="Bookman Old Style"/>
        <charset val="134"/>
      </rPr>
      <t xml:space="preserve"> </t>
    </r>
    <r>
      <rPr>
        <i/>
        <sz val="9"/>
        <color theme="1"/>
        <rFont val="Bookman Old Style"/>
        <charset val="134"/>
      </rPr>
      <t>vendor</t>
    </r>
    <r>
      <rPr>
        <sz val="9"/>
        <color theme="1"/>
        <rFont val="Bookman Old Style"/>
        <charset val="134"/>
      </rPr>
      <t xml:space="preserve"> </t>
    </r>
    <r>
      <rPr>
        <b/>
        <sz val="9"/>
        <color theme="1"/>
        <rFont val="Bookman Old Style"/>
        <charset val="134"/>
      </rPr>
      <t>cepat</t>
    </r>
    <r>
      <rPr>
        <sz val="9"/>
        <color theme="1"/>
        <rFont val="Bookman Old Style"/>
        <charset val="134"/>
      </rPr>
      <t xml:space="preserve"> dalam menyelesaikan permasalahan Teknologi &amp; Informasi</t>
    </r>
  </si>
  <si>
    <t>Kompleksitas produk dan transaksi peringkat 5</t>
  </si>
  <si>
    <r>
      <rPr>
        <b/>
        <sz val="9"/>
        <color theme="1"/>
        <rFont val="Bookman Old Style"/>
        <charset val="134"/>
      </rPr>
      <t>Tidak</t>
    </r>
    <r>
      <rPr>
        <sz val="9"/>
        <color theme="1"/>
        <rFont val="Bookman Old Style"/>
        <charset val="134"/>
      </rPr>
      <t xml:space="preserve"> melakukan pengujian kapasitas FO (</t>
    </r>
    <r>
      <rPr>
        <i/>
        <sz val="9"/>
        <color theme="1"/>
        <rFont val="Bookman Old Style"/>
        <charset val="134"/>
      </rPr>
      <t>Mock Trading</t>
    </r>
    <r>
      <rPr>
        <sz val="9"/>
        <color theme="1"/>
        <rFont val="Bookman Old Style"/>
        <charset val="134"/>
      </rPr>
      <t>)</t>
    </r>
  </si>
  <si>
    <r>
      <rPr>
        <b/>
        <sz val="9"/>
        <color theme="1"/>
        <rFont val="Bookman Old Style"/>
        <charset val="134"/>
      </rPr>
      <t>Tidak</t>
    </r>
    <r>
      <rPr>
        <sz val="9"/>
        <color theme="1"/>
        <rFont val="Bookman Old Style"/>
        <charset val="134"/>
      </rPr>
      <t xml:space="preserve"> mempunyai koneksi lebih dari 1 (</t>
    </r>
    <r>
      <rPr>
        <i/>
        <sz val="9"/>
        <color theme="1"/>
        <rFont val="Bookman Old Style"/>
        <charset val="134"/>
      </rPr>
      <t>back up connection</t>
    </r>
    <r>
      <rPr>
        <sz val="9"/>
        <color theme="1"/>
        <rFont val="Bookman Old Style"/>
        <charset val="134"/>
      </rPr>
      <t>)</t>
    </r>
  </si>
  <si>
    <r>
      <rPr>
        <b/>
        <sz val="9"/>
        <color theme="1"/>
        <rFont val="Bookman Old Style"/>
        <charset val="134"/>
      </rPr>
      <t>Tidak</t>
    </r>
    <r>
      <rPr>
        <sz val="9"/>
        <color theme="1"/>
        <rFont val="Bookman Old Style"/>
        <charset val="134"/>
      </rPr>
      <t xml:space="preserve"> </t>
    </r>
    <r>
      <rPr>
        <i/>
        <sz val="9"/>
        <color theme="1"/>
        <rFont val="Bookman Old Style"/>
        <charset val="134"/>
      </rPr>
      <t>maintenance</t>
    </r>
    <r>
      <rPr>
        <sz val="9"/>
        <color theme="1"/>
        <rFont val="Bookman Old Style"/>
        <charset val="134"/>
      </rPr>
      <t xml:space="preserve"> sistem berkala</t>
    </r>
  </si>
  <si>
    <t>Kompleksitas layanan jasa perdagangan peringkat 5</t>
  </si>
  <si>
    <r>
      <rPr>
        <b/>
        <sz val="9"/>
        <color theme="1"/>
        <rFont val="Bookman Old Style"/>
        <charset val="134"/>
      </rPr>
      <t>Tidak</t>
    </r>
    <r>
      <rPr>
        <sz val="9"/>
        <color theme="1"/>
        <rFont val="Bookman Old Style"/>
        <charset val="134"/>
      </rPr>
      <t xml:space="preserve"> memiliki </t>
    </r>
    <r>
      <rPr>
        <i/>
        <sz val="9"/>
        <color theme="1"/>
        <rFont val="Bookman Old Style"/>
        <charset val="134"/>
      </rPr>
      <t>Business Continuity Plan</t>
    </r>
    <r>
      <rPr>
        <sz val="9"/>
        <color theme="1"/>
        <rFont val="Bookman Old Style"/>
        <charset val="134"/>
      </rPr>
      <t xml:space="preserve"> (BCP) terkait sistem </t>
    </r>
    <r>
      <rPr>
        <i/>
        <sz val="9"/>
        <color theme="1"/>
        <rFont val="Bookman Old Style"/>
        <charset val="134"/>
      </rPr>
      <t>front office</t>
    </r>
    <r>
      <rPr>
        <sz val="9"/>
        <color theme="1"/>
        <rFont val="Bookman Old Style"/>
        <charset val="134"/>
      </rPr>
      <t xml:space="preserve"> dan </t>
    </r>
    <r>
      <rPr>
        <i/>
        <sz val="9"/>
        <color theme="1"/>
        <rFont val="Bookman Old Style"/>
        <charset val="134"/>
      </rPr>
      <t>back office</t>
    </r>
  </si>
  <si>
    <r>
      <rPr>
        <sz val="9"/>
        <color theme="1"/>
        <rFont val="Bookman Old Style"/>
        <charset val="134"/>
      </rPr>
      <t xml:space="preserve">SDM Teknologi &amp; Informasi </t>
    </r>
    <r>
      <rPr>
        <b/>
        <sz val="9"/>
        <color theme="1"/>
        <rFont val="Bookman Old Style"/>
        <charset val="134"/>
      </rPr>
      <t>lambat</t>
    </r>
    <r>
      <rPr>
        <sz val="9"/>
        <color theme="1"/>
        <rFont val="Bookman Old Style"/>
        <charset val="134"/>
      </rPr>
      <t xml:space="preserve"> mengeskalasi ke vendor dan</t>
    </r>
    <r>
      <rPr>
        <b/>
        <sz val="9"/>
        <color theme="1"/>
        <rFont val="Bookman Old Style"/>
        <charset val="134"/>
      </rPr>
      <t xml:space="preserve"> </t>
    </r>
    <r>
      <rPr>
        <sz val="9"/>
        <color theme="1"/>
        <rFont val="Bookman Old Style"/>
        <charset val="134"/>
      </rPr>
      <t xml:space="preserve">vendor </t>
    </r>
    <r>
      <rPr>
        <b/>
        <sz val="9"/>
        <color theme="1"/>
        <rFont val="Bookman Old Style"/>
        <charset val="134"/>
      </rPr>
      <t>lambat</t>
    </r>
    <r>
      <rPr>
        <sz val="9"/>
        <color theme="1"/>
        <rFont val="Bookman Old Style"/>
        <charset val="134"/>
      </rPr>
      <t xml:space="preserve"> dalam menyelesaikan permasalahan Teknologi &amp; Informasi</t>
    </r>
  </si>
  <si>
    <t>2. Sistem tidak mampu mendukung kompleksitas bisnis perusahaan</t>
  </si>
  <si>
    <r>
      <rPr>
        <sz val="9"/>
        <color theme="1"/>
        <rFont val="Bookman Old Style"/>
        <charset val="134"/>
      </rPr>
      <t xml:space="preserve">Pertukaran data BO dengan FO sudah </t>
    </r>
    <r>
      <rPr>
        <i/>
        <sz val="9"/>
        <color theme="1"/>
        <rFont val="Bookman Old Style"/>
        <charset val="134"/>
      </rPr>
      <t>realtime</t>
    </r>
  </si>
  <si>
    <t>Perusahaan Efek mengembangkan sistem pendukung dan memastikan mendukung sistem utama serta terintegrasi</t>
  </si>
  <si>
    <t>Kapasitas sistem FO dan BO (kapasitas penyimpanan) memadai</t>
  </si>
  <si>
    <t>BOFIS sesuai standar dari BEI</t>
  </si>
  <si>
    <t>Tidak ada permasalahan sistem</t>
  </si>
  <si>
    <t>Pembaruan kapasitas sistem (penyimpanan) berkala dan memiliki peringatan (alert)</t>
  </si>
  <si>
    <r>
      <rPr>
        <sz val="9"/>
        <color theme="1"/>
        <rFont val="Bookman Old Style"/>
        <charset val="134"/>
      </rPr>
      <t>Frekuensi pengujian kapasitas FO (</t>
    </r>
    <r>
      <rPr>
        <i/>
        <sz val="9"/>
        <color theme="1"/>
        <rFont val="Bookman Old Style"/>
        <charset val="134"/>
      </rPr>
      <t>Mock</t>
    </r>
    <r>
      <rPr>
        <sz val="9"/>
        <color theme="1"/>
        <rFont val="Bookman Old Style"/>
        <charset val="134"/>
      </rPr>
      <t xml:space="preserve">) sesuai kebutuhan, </t>
    </r>
    <r>
      <rPr>
        <b/>
        <sz val="9"/>
        <color theme="1"/>
        <rFont val="Bookman Old Style"/>
        <charset val="134"/>
      </rPr>
      <t>lebih sering</t>
    </r>
    <r>
      <rPr>
        <sz val="9"/>
        <color theme="1"/>
        <rFont val="Bookman Old Style"/>
        <charset val="134"/>
      </rPr>
      <t xml:space="preserve"> dari </t>
    </r>
    <r>
      <rPr>
        <i/>
        <sz val="9"/>
        <color theme="1"/>
        <rFont val="Bookman Old Style"/>
        <charset val="134"/>
      </rPr>
      <t>mock</t>
    </r>
    <r>
      <rPr>
        <sz val="9"/>
        <color theme="1"/>
        <rFont val="Bookman Old Style"/>
        <charset val="134"/>
      </rPr>
      <t xml:space="preserve"> </t>
    </r>
    <r>
      <rPr>
        <i/>
        <sz val="9"/>
        <color theme="1"/>
        <rFont val="Bookman Old Style"/>
        <charset val="134"/>
      </rPr>
      <t>trading</t>
    </r>
    <r>
      <rPr>
        <sz val="9"/>
        <color theme="1"/>
        <rFont val="Bookman Old Style"/>
        <charset val="134"/>
      </rPr>
      <t xml:space="preserve"> wajib di BEI</t>
    </r>
  </si>
  <si>
    <r>
      <rPr>
        <sz val="9"/>
        <color theme="1"/>
        <rFont val="Bookman Old Style"/>
        <charset val="134"/>
      </rPr>
      <t xml:space="preserve">Frekuensi </t>
    </r>
    <r>
      <rPr>
        <i/>
        <sz val="9"/>
        <color theme="1"/>
        <rFont val="Bookman Old Style"/>
        <charset val="134"/>
      </rPr>
      <t>back up</t>
    </r>
    <r>
      <rPr>
        <sz val="9"/>
        <color theme="1"/>
        <rFont val="Bookman Old Style"/>
        <charset val="134"/>
      </rPr>
      <t xml:space="preserve"> setiap hari dan mempunyai </t>
    </r>
    <r>
      <rPr>
        <i/>
        <sz val="9"/>
        <color theme="1"/>
        <rFont val="Bookman Old Style"/>
        <charset val="134"/>
      </rPr>
      <t xml:space="preserve">co-location </t>
    </r>
    <r>
      <rPr>
        <sz val="9"/>
        <color theme="1"/>
        <rFont val="Bookman Old Style"/>
        <charset val="134"/>
      </rPr>
      <t>server</t>
    </r>
  </si>
  <si>
    <r>
      <rPr>
        <sz val="9"/>
        <color theme="1"/>
        <rFont val="Bookman Old Style"/>
        <charset val="134"/>
      </rPr>
      <t>Pembaharuan (</t>
    </r>
    <r>
      <rPr>
        <i/>
        <sz val="9"/>
        <color theme="1"/>
        <rFont val="Bookman Old Style"/>
        <charset val="134"/>
      </rPr>
      <t>updating</t>
    </r>
    <r>
      <rPr>
        <sz val="9"/>
        <color theme="1"/>
        <rFont val="Bookman Old Style"/>
        <charset val="134"/>
      </rPr>
      <t>) sistem otomatis</t>
    </r>
  </si>
  <si>
    <r>
      <rPr>
        <sz val="9"/>
        <color theme="1"/>
        <rFont val="Bookman Old Style"/>
        <charset val="134"/>
      </rPr>
      <t xml:space="preserve">Pertukaran data BO dengan FO sudah </t>
    </r>
    <r>
      <rPr>
        <b/>
        <i/>
        <sz val="9"/>
        <color theme="1"/>
        <rFont val="Bookman Old Style"/>
        <charset val="134"/>
      </rPr>
      <t>batching</t>
    </r>
    <r>
      <rPr>
        <i/>
        <sz val="9"/>
        <color theme="1"/>
        <rFont val="Bookman Old Style"/>
        <charset val="134"/>
      </rPr>
      <t xml:space="preserve"> </t>
    </r>
    <r>
      <rPr>
        <sz val="9"/>
        <color theme="1"/>
        <rFont val="Bookman Old Style"/>
        <charset val="134"/>
      </rPr>
      <t>&lt; 1 jam</t>
    </r>
  </si>
  <si>
    <r>
      <rPr>
        <sz val="9"/>
        <color theme="1"/>
        <rFont val="Bookman Old Style"/>
        <charset val="134"/>
      </rPr>
      <t xml:space="preserve">Ada permasalahan sistem dan berdampak </t>
    </r>
    <r>
      <rPr>
        <b/>
        <sz val="9"/>
        <color theme="1"/>
        <rFont val="Bookman Old Style"/>
        <charset val="134"/>
      </rPr>
      <t>minor</t>
    </r>
    <r>
      <rPr>
        <sz val="9"/>
        <color theme="1"/>
        <rFont val="Bookman Old Style"/>
        <charset val="134"/>
      </rPr>
      <t xml:space="preserve"> ke operasional PE (penerusan pesanan, database, laporan)</t>
    </r>
  </si>
  <si>
    <r>
      <rPr>
        <sz val="9"/>
        <color theme="1"/>
        <rFont val="Bookman Old Style"/>
        <charset val="134"/>
      </rPr>
      <t xml:space="preserve">Pembaruan kapasitas sistem (penyimpanan) berkala namun </t>
    </r>
    <r>
      <rPr>
        <b/>
        <sz val="9"/>
        <color theme="1"/>
        <rFont val="Bookman Old Style"/>
        <charset val="134"/>
      </rPr>
      <t>tidak</t>
    </r>
    <r>
      <rPr>
        <sz val="9"/>
        <color theme="1"/>
        <rFont val="Bookman Old Style"/>
        <charset val="134"/>
      </rPr>
      <t xml:space="preserve"> memiliki peringatan (alert)</t>
    </r>
  </si>
  <si>
    <r>
      <rPr>
        <sz val="9"/>
        <color theme="1"/>
        <rFont val="Bookman Old Style"/>
        <charset val="134"/>
      </rPr>
      <t>Frekuensi pengujian kapasitas FO (</t>
    </r>
    <r>
      <rPr>
        <i/>
        <sz val="9"/>
        <color theme="1"/>
        <rFont val="Bookman Old Style"/>
        <charset val="134"/>
      </rPr>
      <t>Mock</t>
    </r>
    <r>
      <rPr>
        <sz val="9"/>
        <color theme="1"/>
        <rFont val="Bookman Old Style"/>
        <charset val="134"/>
      </rPr>
      <t xml:space="preserve">) </t>
    </r>
    <r>
      <rPr>
        <b/>
        <sz val="9"/>
        <color theme="1"/>
        <rFont val="Bookman Old Style"/>
        <charset val="134"/>
      </rPr>
      <t>sesuai</t>
    </r>
    <r>
      <rPr>
        <sz val="9"/>
        <color theme="1"/>
        <rFont val="Bookman Old Style"/>
        <charset val="134"/>
      </rPr>
      <t xml:space="preserve"> dengan </t>
    </r>
    <r>
      <rPr>
        <i/>
        <sz val="9"/>
        <color theme="1"/>
        <rFont val="Bookman Old Style"/>
        <charset val="134"/>
      </rPr>
      <t>mock</t>
    </r>
    <r>
      <rPr>
        <sz val="9"/>
        <color theme="1"/>
        <rFont val="Bookman Old Style"/>
        <charset val="134"/>
      </rPr>
      <t xml:space="preserve"> </t>
    </r>
    <r>
      <rPr>
        <i/>
        <sz val="9"/>
        <color theme="1"/>
        <rFont val="Bookman Old Style"/>
        <charset val="134"/>
      </rPr>
      <t>trading</t>
    </r>
    <r>
      <rPr>
        <sz val="9"/>
        <color theme="1"/>
        <rFont val="Bookman Old Style"/>
        <charset val="134"/>
      </rPr>
      <t xml:space="preserve"> wajib di BEI</t>
    </r>
  </si>
  <si>
    <r>
      <rPr>
        <sz val="9"/>
        <color theme="1"/>
        <rFont val="Bookman Old Style"/>
        <charset val="134"/>
      </rPr>
      <t xml:space="preserve">Pembaharuan (updating) sistem </t>
    </r>
    <r>
      <rPr>
        <b/>
        <sz val="9"/>
        <color theme="1"/>
        <rFont val="Bookman Old Style"/>
        <charset val="134"/>
      </rPr>
      <t>tidak</t>
    </r>
    <r>
      <rPr>
        <sz val="9"/>
        <color theme="1"/>
        <rFont val="Bookman Old Style"/>
        <charset val="134"/>
      </rPr>
      <t xml:space="preserve"> otomatis</t>
    </r>
  </si>
  <si>
    <r>
      <rPr>
        <sz val="9"/>
        <color theme="1"/>
        <rFont val="Bookman Old Style"/>
        <charset val="134"/>
      </rPr>
      <t xml:space="preserve">Pertukaran data BO dengan FO sudah </t>
    </r>
    <r>
      <rPr>
        <b/>
        <i/>
        <sz val="9"/>
        <color theme="1"/>
        <rFont val="Bookman Old Style"/>
        <charset val="134"/>
      </rPr>
      <t>batching</t>
    </r>
    <r>
      <rPr>
        <i/>
        <sz val="9"/>
        <color theme="1"/>
        <rFont val="Bookman Old Style"/>
        <charset val="134"/>
      </rPr>
      <t xml:space="preserve"> </t>
    </r>
    <r>
      <rPr>
        <sz val="9"/>
        <color theme="1"/>
        <rFont val="Bookman Old Style"/>
        <charset val="134"/>
      </rPr>
      <t>per sesi Perdagangan BEI</t>
    </r>
  </si>
  <si>
    <r>
      <rPr>
        <sz val="9"/>
        <color theme="1"/>
        <rFont val="Bookman Old Style"/>
        <charset val="134"/>
      </rPr>
      <t xml:space="preserve">Perusahaan Efek mengembangkan sistem pendukung dan memastikan mendukung sistem utama namun </t>
    </r>
    <r>
      <rPr>
        <b/>
        <sz val="9"/>
        <color theme="1"/>
        <rFont val="Bookman Old Style"/>
        <charset val="134"/>
      </rPr>
      <t>tidak</t>
    </r>
    <r>
      <rPr>
        <sz val="9"/>
        <color theme="1"/>
        <rFont val="Bookman Old Style"/>
        <charset val="134"/>
      </rPr>
      <t xml:space="preserve"> terintegrasi</t>
    </r>
  </si>
  <si>
    <r>
      <rPr>
        <sz val="9"/>
        <color theme="1"/>
        <rFont val="Bookman Old Style"/>
        <charset val="134"/>
      </rPr>
      <t xml:space="preserve">Pembaruan kapasitas sistem (penyimpanan) </t>
    </r>
    <r>
      <rPr>
        <b/>
        <sz val="9"/>
        <color theme="1"/>
        <rFont val="Bookman Old Style"/>
        <charset val="134"/>
      </rPr>
      <t>tidak</t>
    </r>
    <r>
      <rPr>
        <sz val="9"/>
        <color theme="1"/>
        <rFont val="Bookman Old Style"/>
        <charset val="134"/>
      </rPr>
      <t xml:space="preserve"> terjadwal dan </t>
    </r>
    <r>
      <rPr>
        <b/>
        <sz val="9"/>
        <color theme="1"/>
        <rFont val="Bookman Old Style"/>
        <charset val="134"/>
      </rPr>
      <t>tidak</t>
    </r>
    <r>
      <rPr>
        <sz val="9"/>
        <color theme="1"/>
        <rFont val="Bookman Old Style"/>
        <charset val="134"/>
      </rPr>
      <t xml:space="preserve"> memiliki peringatan (alert)</t>
    </r>
  </si>
  <si>
    <r>
      <rPr>
        <sz val="9"/>
        <color theme="1"/>
        <rFont val="Bookman Old Style"/>
        <charset val="134"/>
      </rPr>
      <t xml:space="preserve">Frekuensi </t>
    </r>
    <r>
      <rPr>
        <i/>
        <sz val="9"/>
        <color theme="1"/>
        <rFont val="Bookman Old Style"/>
        <charset val="134"/>
      </rPr>
      <t>back up</t>
    </r>
    <r>
      <rPr>
        <sz val="9"/>
        <color theme="1"/>
        <rFont val="Bookman Old Style"/>
        <charset val="134"/>
      </rPr>
      <t xml:space="preserve"> setiap hari dan mempunyai </t>
    </r>
    <r>
      <rPr>
        <b/>
        <sz val="9"/>
        <color theme="1"/>
        <rFont val="Bookman Old Style"/>
        <charset val="134"/>
      </rPr>
      <t>tidak punya</t>
    </r>
    <r>
      <rPr>
        <sz val="9"/>
        <color theme="1"/>
        <rFont val="Bookman Old Style"/>
        <charset val="134"/>
      </rPr>
      <t xml:space="preserve"> </t>
    </r>
    <r>
      <rPr>
        <i/>
        <sz val="9"/>
        <color theme="1"/>
        <rFont val="Bookman Old Style"/>
        <charset val="134"/>
      </rPr>
      <t xml:space="preserve">co-location </t>
    </r>
    <r>
      <rPr>
        <sz val="9"/>
        <color theme="1"/>
        <rFont val="Bookman Old Style"/>
        <charset val="134"/>
      </rPr>
      <t>server</t>
    </r>
  </si>
  <si>
    <r>
      <rPr>
        <sz val="9"/>
        <color theme="1"/>
        <rFont val="Bookman Old Style"/>
        <charset val="134"/>
      </rPr>
      <t xml:space="preserve">Pertukaran data BO dengan FO sudah </t>
    </r>
    <r>
      <rPr>
        <b/>
        <i/>
        <sz val="9"/>
        <color theme="1"/>
        <rFont val="Bookman Old Style"/>
        <charset val="134"/>
      </rPr>
      <t>batching</t>
    </r>
    <r>
      <rPr>
        <i/>
        <sz val="9"/>
        <color theme="1"/>
        <rFont val="Bookman Old Style"/>
        <charset val="134"/>
      </rPr>
      <t xml:space="preserve"> </t>
    </r>
    <r>
      <rPr>
        <sz val="9"/>
        <color theme="1"/>
        <rFont val="Bookman Old Style"/>
        <charset val="134"/>
      </rPr>
      <t>1 hari</t>
    </r>
  </si>
  <si>
    <r>
      <rPr>
        <b/>
        <sz val="9"/>
        <color theme="1"/>
        <rFont val="Bookman Old Style"/>
        <charset val="134"/>
      </rPr>
      <t>Sering ada</t>
    </r>
    <r>
      <rPr>
        <sz val="9"/>
        <color theme="1"/>
        <rFont val="Bookman Old Style"/>
        <charset val="134"/>
      </rPr>
      <t xml:space="preserve"> permasalahan sistem dan berdampak </t>
    </r>
    <r>
      <rPr>
        <b/>
        <sz val="9"/>
        <color theme="1"/>
        <rFont val="Bookman Old Style"/>
        <charset val="134"/>
      </rPr>
      <t>minor</t>
    </r>
    <r>
      <rPr>
        <sz val="9"/>
        <color theme="1"/>
        <rFont val="Bookman Old Style"/>
        <charset val="134"/>
      </rPr>
      <t xml:space="preserve"> ke operasional PE (penerusan pesanan, database, laporan)</t>
    </r>
  </si>
  <si>
    <r>
      <rPr>
        <sz val="9"/>
        <color theme="1"/>
        <rFont val="Bookman Old Style"/>
        <charset val="134"/>
      </rPr>
      <t xml:space="preserve">Kapasitas sistem FO dan BO (kapasitas penyimpanan) </t>
    </r>
    <r>
      <rPr>
        <b/>
        <sz val="9"/>
        <color theme="1"/>
        <rFont val="Bookman Old Style"/>
        <charset val="134"/>
      </rPr>
      <t>tidak</t>
    </r>
    <r>
      <rPr>
        <sz val="9"/>
        <color theme="1"/>
        <rFont val="Bookman Old Style"/>
        <charset val="134"/>
      </rPr>
      <t xml:space="preserve"> memadai</t>
    </r>
  </si>
  <si>
    <r>
      <rPr>
        <sz val="9"/>
        <color theme="1"/>
        <rFont val="Bookman Old Style"/>
        <charset val="134"/>
      </rPr>
      <t xml:space="preserve">BOFIS </t>
    </r>
    <r>
      <rPr>
        <b/>
        <sz val="9"/>
        <color theme="1"/>
        <rFont val="Bookman Old Style"/>
        <charset val="134"/>
      </rPr>
      <t>tidak</t>
    </r>
    <r>
      <rPr>
        <sz val="9"/>
        <color theme="1"/>
        <rFont val="Bookman Old Style"/>
        <charset val="134"/>
      </rPr>
      <t xml:space="preserve"> sesuai standar dari BEI</t>
    </r>
  </si>
  <si>
    <r>
      <rPr>
        <b/>
        <sz val="9"/>
        <color theme="1"/>
        <rFont val="Bookman Old Style"/>
        <charset val="134"/>
      </rPr>
      <t>Sering ada</t>
    </r>
    <r>
      <rPr>
        <sz val="9"/>
        <color theme="1"/>
        <rFont val="Bookman Old Style"/>
        <charset val="134"/>
      </rPr>
      <t xml:space="preserve"> permasalahan sistem dan berdampak </t>
    </r>
    <r>
      <rPr>
        <b/>
        <sz val="9"/>
        <color theme="1"/>
        <rFont val="Bookman Old Style"/>
        <charset val="134"/>
      </rPr>
      <t>major</t>
    </r>
    <r>
      <rPr>
        <sz val="9"/>
        <color theme="1"/>
        <rFont val="Bookman Old Style"/>
        <charset val="134"/>
      </rPr>
      <t xml:space="preserve"> ke operasional PE (penerusan pesanan, database, laporan)</t>
    </r>
  </si>
  <si>
    <r>
      <rPr>
        <sz val="9"/>
        <color theme="1"/>
        <rFont val="Bookman Old Style"/>
        <charset val="134"/>
      </rPr>
      <t>Frekuensi pengujian kapasitas FO (</t>
    </r>
    <r>
      <rPr>
        <i/>
        <sz val="9"/>
        <color theme="1"/>
        <rFont val="Bookman Old Style"/>
        <charset val="134"/>
      </rPr>
      <t>Mock</t>
    </r>
    <r>
      <rPr>
        <sz val="9"/>
        <color theme="1"/>
        <rFont val="Bookman Old Style"/>
        <charset val="134"/>
      </rPr>
      <t xml:space="preserve">) </t>
    </r>
    <r>
      <rPr>
        <b/>
        <sz val="9"/>
        <color theme="1"/>
        <rFont val="Bookman Old Style"/>
        <charset val="134"/>
      </rPr>
      <t>tidak pernah</t>
    </r>
    <r>
      <rPr>
        <sz val="9"/>
        <color theme="1"/>
        <rFont val="Bookman Old Style"/>
        <charset val="134"/>
      </rPr>
      <t xml:space="preserve"> dilakukan (</t>
    </r>
    <r>
      <rPr>
        <i/>
        <sz val="9"/>
        <color theme="1"/>
        <rFont val="Bookman Old Style"/>
        <charset val="134"/>
      </rPr>
      <t>mock</t>
    </r>
    <r>
      <rPr>
        <sz val="9"/>
        <color theme="1"/>
        <rFont val="Bookman Old Style"/>
        <charset val="134"/>
      </rPr>
      <t xml:space="preserve"> </t>
    </r>
    <r>
      <rPr>
        <i/>
        <sz val="9"/>
        <color theme="1"/>
        <rFont val="Bookman Old Style"/>
        <charset val="134"/>
      </rPr>
      <t>trading</t>
    </r>
    <r>
      <rPr>
        <sz val="9"/>
        <color theme="1"/>
        <rFont val="Bookman Old Style"/>
        <charset val="134"/>
      </rPr>
      <t xml:space="preserve"> wajib di BEI tidak pernah)</t>
    </r>
  </si>
  <si>
    <r>
      <rPr>
        <b/>
        <sz val="9"/>
        <color theme="1"/>
        <rFont val="Bookman Old Style"/>
        <charset val="134"/>
      </rPr>
      <t>Tidak</t>
    </r>
    <r>
      <rPr>
        <sz val="9"/>
        <color theme="1"/>
        <rFont val="Bookman Old Style"/>
        <charset val="134"/>
      </rPr>
      <t xml:space="preserve"> dilakukan </t>
    </r>
    <r>
      <rPr>
        <i/>
        <sz val="9"/>
        <color theme="1"/>
        <rFont val="Bookman Old Style"/>
        <charset val="134"/>
      </rPr>
      <t>back up</t>
    </r>
    <r>
      <rPr>
        <sz val="9"/>
        <color theme="1"/>
        <rFont val="Bookman Old Style"/>
        <charset val="134"/>
      </rPr>
      <t xml:space="preserve"> setiap hari dan mempunyai </t>
    </r>
    <r>
      <rPr>
        <b/>
        <sz val="9"/>
        <color theme="1"/>
        <rFont val="Bookman Old Style"/>
        <charset val="134"/>
      </rPr>
      <t>tidak punya</t>
    </r>
    <r>
      <rPr>
        <sz val="9"/>
        <color theme="1"/>
        <rFont val="Bookman Old Style"/>
        <charset val="134"/>
      </rPr>
      <t xml:space="preserve"> </t>
    </r>
    <r>
      <rPr>
        <i/>
        <sz val="9"/>
        <color theme="1"/>
        <rFont val="Bookman Old Style"/>
        <charset val="134"/>
      </rPr>
      <t xml:space="preserve">co-location </t>
    </r>
    <r>
      <rPr>
        <sz val="9"/>
        <color theme="1"/>
        <rFont val="Bookman Old Style"/>
        <charset val="134"/>
      </rPr>
      <t>server</t>
    </r>
  </si>
  <si>
    <t>3. Sistem masih dapat diintervensi manual</t>
  </si>
  <si>
    <t>Sistem utama telah sesuai dengan kompleksitas bisnis Perusahaan (FO) – tidak ada sistem pendukung</t>
  </si>
  <si>
    <t>Telah diberikan hak akses</t>
  </si>
  <si>
    <t>Pertukaran data BO dengan FO sudah realtime</t>
  </si>
  <si>
    <t>Memiliki POS sistem pada jasa perdagangan</t>
  </si>
  <si>
    <t>Kompleksitas layanan Jasa Perdagangan peringkat 1</t>
  </si>
  <si>
    <t>Tidak ada layanan automated ordering</t>
  </si>
  <si>
    <t>POS direviu berkala dan diperbarui</t>
  </si>
  <si>
    <t>Tidak ada Jumlah algo trading</t>
  </si>
  <si>
    <r>
      <rPr>
        <sz val="9"/>
        <color theme="1"/>
        <rFont val="Bookman Old Style"/>
        <charset val="134"/>
      </rPr>
      <t xml:space="preserve">Memiliki kebijakan penanganan kesalahan </t>
    </r>
    <r>
      <rPr>
        <i/>
        <sz val="9"/>
        <color theme="1"/>
        <rFont val="Bookman Old Style"/>
        <charset val="134"/>
      </rPr>
      <t>automated trading</t>
    </r>
  </si>
  <si>
    <r>
      <rPr>
        <sz val="9"/>
        <color theme="1"/>
        <rFont val="Bookman Old Style"/>
        <charset val="134"/>
      </rPr>
      <t xml:space="preserve">Sistem utama </t>
    </r>
    <r>
      <rPr>
        <b/>
        <sz val="9"/>
        <color theme="1"/>
        <rFont val="Bookman Old Style"/>
        <charset val="134"/>
      </rPr>
      <t>belum</t>
    </r>
    <r>
      <rPr>
        <sz val="9"/>
        <color theme="1"/>
        <rFont val="Bookman Old Style"/>
        <charset val="134"/>
      </rPr>
      <t xml:space="preserve"> sesuai dengan kompleksitas bisnis Perusahaan (FO), sistem pendukung sedikit dan terintegrasi</t>
    </r>
  </si>
  <si>
    <r>
      <rPr>
        <sz val="9"/>
        <color theme="1"/>
        <rFont val="Bookman Old Style"/>
        <charset val="134"/>
      </rPr>
      <t xml:space="preserve">Pertukaran data BO dengan FO sudah otomasi dan </t>
    </r>
    <r>
      <rPr>
        <b/>
        <i/>
        <sz val="9"/>
        <color theme="1"/>
        <rFont val="Bookman Old Style"/>
        <charset val="134"/>
      </rPr>
      <t>batching</t>
    </r>
    <r>
      <rPr>
        <i/>
        <sz val="9"/>
        <color theme="1"/>
        <rFont val="Bookman Old Style"/>
        <charset val="134"/>
      </rPr>
      <t xml:space="preserve"> </t>
    </r>
    <r>
      <rPr>
        <sz val="9"/>
        <color theme="1"/>
        <rFont val="Bookman Old Style"/>
        <charset val="134"/>
      </rPr>
      <t>&lt; 1 jam</t>
    </r>
  </si>
  <si>
    <t>Kompleksitas layanan Jasa Perdagangan peringkat 2</t>
  </si>
  <si>
    <t>Ada layanan automated ordering,  sistem ada di PE</t>
  </si>
  <si>
    <r>
      <rPr>
        <sz val="9"/>
        <color theme="1"/>
        <rFont val="Bookman Old Style"/>
        <charset val="134"/>
      </rPr>
      <t xml:space="preserve">POS Direviu </t>
    </r>
    <r>
      <rPr>
        <b/>
        <sz val="9"/>
        <color theme="1"/>
        <rFont val="Bookman Old Style"/>
        <charset val="134"/>
      </rPr>
      <t>insidentil</t>
    </r>
    <r>
      <rPr>
        <sz val="9"/>
        <color theme="1"/>
        <rFont val="Bookman Old Style"/>
        <charset val="134"/>
      </rPr>
      <t xml:space="preserve"> dan diperbarui</t>
    </r>
  </si>
  <si>
    <t>Jumlah algo trading &lt;5</t>
  </si>
  <si>
    <r>
      <rPr>
        <sz val="9"/>
        <color theme="1"/>
        <rFont val="Bookman Old Style"/>
        <charset val="134"/>
      </rPr>
      <t xml:space="preserve">Sistem utama </t>
    </r>
    <r>
      <rPr>
        <b/>
        <sz val="9"/>
        <color theme="1"/>
        <rFont val="Bookman Old Style"/>
        <charset val="134"/>
      </rPr>
      <t>belum</t>
    </r>
    <r>
      <rPr>
        <sz val="9"/>
        <color theme="1"/>
        <rFont val="Bookman Old Style"/>
        <charset val="134"/>
      </rPr>
      <t xml:space="preserve"> sesuai dengan kompleksitas bisnis Perusahaan (FO), sistem pendukung banyak dan terintegrasi</t>
    </r>
  </si>
  <si>
    <t>Telah diberikan hak akses, namun belum memadai</t>
  </si>
  <si>
    <r>
      <rPr>
        <sz val="9"/>
        <color theme="1"/>
        <rFont val="Bookman Old Style"/>
        <charset val="134"/>
      </rPr>
      <t xml:space="preserve">Pertukaran data BO dengan FO sudah otomasi dan </t>
    </r>
    <r>
      <rPr>
        <b/>
        <i/>
        <sz val="9"/>
        <color theme="1"/>
        <rFont val="Bookman Old Style"/>
        <charset val="134"/>
      </rPr>
      <t>batching</t>
    </r>
    <r>
      <rPr>
        <i/>
        <sz val="9"/>
        <color theme="1"/>
        <rFont val="Bookman Old Style"/>
        <charset val="134"/>
      </rPr>
      <t xml:space="preserve"> </t>
    </r>
    <r>
      <rPr>
        <sz val="9"/>
        <color theme="1"/>
        <rFont val="Bookman Old Style"/>
        <charset val="134"/>
      </rPr>
      <t>per sesi perdagangan BEI</t>
    </r>
  </si>
  <si>
    <t>Kompleksitas layanan Jasa Perdagangan peringkat 3</t>
  </si>
  <si>
    <t>Ada layanan automated ordering,  sistem ada di Pihak Lain</t>
  </si>
  <si>
    <r>
      <rPr>
        <sz val="9"/>
        <color theme="1"/>
        <rFont val="Bookman Old Style"/>
        <charset val="134"/>
      </rPr>
      <t xml:space="preserve">POS Direviu </t>
    </r>
    <r>
      <rPr>
        <b/>
        <sz val="9"/>
        <color theme="1"/>
        <rFont val="Bookman Old Style"/>
        <charset val="134"/>
      </rPr>
      <t>insidentil</t>
    </r>
    <r>
      <rPr>
        <sz val="9"/>
        <color theme="1"/>
        <rFont val="Bookman Old Style"/>
        <charset val="134"/>
      </rPr>
      <t xml:space="preserve"> dan tidak diperbarui</t>
    </r>
  </si>
  <si>
    <r>
      <rPr>
        <sz val="9"/>
        <color theme="1"/>
        <rFont val="Bookman Old Style"/>
        <charset val="134"/>
      </rPr>
      <t xml:space="preserve">Sistem utama </t>
    </r>
    <r>
      <rPr>
        <b/>
        <sz val="9"/>
        <color theme="1"/>
        <rFont val="Bookman Old Style"/>
        <charset val="134"/>
      </rPr>
      <t>belum</t>
    </r>
    <r>
      <rPr>
        <sz val="9"/>
        <color theme="1"/>
        <rFont val="Bookman Old Style"/>
        <charset val="134"/>
      </rPr>
      <t xml:space="preserve"> sesuai dengan kompleksitas bisnis Perusahaan (FO), sistem pendukung sedikit dan tidak terintegrasi</t>
    </r>
  </si>
  <si>
    <r>
      <rPr>
        <sz val="9"/>
        <color theme="1"/>
        <rFont val="Bookman Old Style"/>
        <charset val="134"/>
      </rPr>
      <t xml:space="preserve">Pertukaran data BO dengan FO sudah otomasi dan </t>
    </r>
    <r>
      <rPr>
        <b/>
        <i/>
        <sz val="9"/>
        <color theme="1"/>
        <rFont val="Bookman Old Style"/>
        <charset val="134"/>
      </rPr>
      <t>batching</t>
    </r>
    <r>
      <rPr>
        <i/>
        <sz val="9"/>
        <color theme="1"/>
        <rFont val="Bookman Old Style"/>
        <charset val="134"/>
      </rPr>
      <t xml:space="preserve"> </t>
    </r>
    <r>
      <rPr>
        <sz val="9"/>
        <color theme="1"/>
        <rFont val="Bookman Old Style"/>
        <charset val="134"/>
      </rPr>
      <t>1 hari</t>
    </r>
  </si>
  <si>
    <r>
      <rPr>
        <b/>
        <sz val="9"/>
        <color theme="1"/>
        <rFont val="Bookman Old Style"/>
        <charset val="134"/>
      </rPr>
      <t>Tidak</t>
    </r>
    <r>
      <rPr>
        <sz val="9"/>
        <color theme="1"/>
        <rFont val="Bookman Old Style"/>
        <charset val="134"/>
      </rPr>
      <t xml:space="preserve"> memiliki POS sistem pada jasa perdagangan, namun memiliki Kebijakan Tidak Tertulis</t>
    </r>
  </si>
  <si>
    <t>Kompleksitas layanan Jasa Perdagangan peringkat 4</t>
  </si>
  <si>
    <t>Kebijakan Tidak Tertulis diimplementasikan, diawasi, dan diperiksa</t>
  </si>
  <si>
    <r>
      <rPr>
        <sz val="9"/>
        <color theme="1"/>
        <rFont val="Bookman Old Style"/>
        <charset val="134"/>
      </rPr>
      <t xml:space="preserve">Kebijakan Tidak Tertulis direviu </t>
    </r>
    <r>
      <rPr>
        <b/>
        <sz val="9"/>
        <color theme="1"/>
        <rFont val="Bookman Old Style"/>
        <charset val="134"/>
      </rPr>
      <t>insidentil</t>
    </r>
    <r>
      <rPr>
        <sz val="9"/>
        <color theme="1"/>
        <rFont val="Bookman Old Style"/>
        <charset val="134"/>
      </rPr>
      <t xml:space="preserve"> dan diperbarui</t>
    </r>
  </si>
  <si>
    <t>Jumlah algo trading &gt;5</t>
  </si>
  <si>
    <r>
      <rPr>
        <b/>
        <sz val="9"/>
        <color theme="1"/>
        <rFont val="Bookman Old Style"/>
        <charset val="134"/>
      </rPr>
      <t>Tidak</t>
    </r>
    <r>
      <rPr>
        <sz val="9"/>
        <color theme="1"/>
        <rFont val="Bookman Old Style"/>
        <charset val="134"/>
      </rPr>
      <t xml:space="preserve"> memiliki kebijakan penanganan kesalahan </t>
    </r>
    <r>
      <rPr>
        <i/>
        <sz val="9"/>
        <color theme="1"/>
        <rFont val="Bookman Old Style"/>
        <charset val="134"/>
      </rPr>
      <t>automated trading</t>
    </r>
  </si>
  <si>
    <r>
      <rPr>
        <sz val="9"/>
        <color theme="1"/>
        <rFont val="Bookman Old Style"/>
        <charset val="134"/>
      </rPr>
      <t xml:space="preserve">Sistem utama </t>
    </r>
    <r>
      <rPr>
        <b/>
        <sz val="9"/>
        <color theme="1"/>
        <rFont val="Bookman Old Style"/>
        <charset val="134"/>
      </rPr>
      <t>belum</t>
    </r>
    <r>
      <rPr>
        <sz val="9"/>
        <color theme="1"/>
        <rFont val="Bookman Old Style"/>
        <charset val="134"/>
      </rPr>
      <t xml:space="preserve"> sesuai dengan kompleksitas bisnis Perusahaan (FO), sistem pendukung banyak dan tidak terintegrasi</t>
    </r>
  </si>
  <si>
    <r>
      <rPr>
        <b/>
        <sz val="9"/>
        <color theme="1"/>
        <rFont val="Bookman Old Style"/>
        <charset val="134"/>
      </rPr>
      <t>Tidak</t>
    </r>
    <r>
      <rPr>
        <sz val="9"/>
        <color theme="1"/>
        <rFont val="Bookman Old Style"/>
        <charset val="134"/>
      </rPr>
      <t xml:space="preserve"> ada hak akses.</t>
    </r>
  </si>
  <si>
    <r>
      <rPr>
        <sz val="9"/>
        <color theme="1"/>
        <rFont val="Bookman Old Style"/>
        <charset val="134"/>
      </rPr>
      <t xml:space="preserve">Pertukaran data BO dengan FO sudah otomasi dan </t>
    </r>
    <r>
      <rPr>
        <b/>
        <i/>
        <sz val="9"/>
        <color theme="1"/>
        <rFont val="Bookman Old Style"/>
        <charset val="134"/>
      </rPr>
      <t>batching</t>
    </r>
    <r>
      <rPr>
        <i/>
        <sz val="9"/>
        <color theme="1"/>
        <rFont val="Bookman Old Style"/>
        <charset val="134"/>
      </rPr>
      <t xml:space="preserve"> &gt;</t>
    </r>
    <r>
      <rPr>
        <sz val="9"/>
        <color theme="1"/>
        <rFont val="Bookman Old Style"/>
        <charset val="134"/>
      </rPr>
      <t>1 hari</t>
    </r>
  </si>
  <si>
    <r>
      <rPr>
        <b/>
        <sz val="9"/>
        <color theme="1"/>
        <rFont val="Bookman Old Style"/>
        <charset val="134"/>
      </rPr>
      <t>Tidak</t>
    </r>
    <r>
      <rPr>
        <sz val="9"/>
        <color theme="1"/>
        <rFont val="Bookman Old Style"/>
        <charset val="134"/>
      </rPr>
      <t xml:space="preserve"> memiliki POS maupun kebijakan mengenai sistem pada jasa perdagangan</t>
    </r>
  </si>
  <si>
    <t>Kompleksitas layanan Jasa Perdagangan peringkat 5</t>
  </si>
  <si>
    <t>4. Tidak tersedianya jaringan yang stabil</t>
  </si>
  <si>
    <r>
      <rPr>
        <sz val="9"/>
        <color theme="1"/>
        <rFont val="Bookman Old Style"/>
        <charset val="134"/>
      </rPr>
      <t xml:space="preserve">Memiliki </t>
    </r>
    <r>
      <rPr>
        <i/>
        <sz val="9"/>
        <color theme="1"/>
        <rFont val="Bookman Old Style"/>
        <charset val="134"/>
      </rPr>
      <t>Business Continuity Plan</t>
    </r>
    <r>
      <rPr>
        <sz val="9"/>
        <color theme="1"/>
        <rFont val="Bookman Old Style"/>
        <charset val="134"/>
      </rPr>
      <t xml:space="preserve"> (BCP) terkait sistem </t>
    </r>
    <r>
      <rPr>
        <i/>
        <sz val="9"/>
        <color theme="1"/>
        <rFont val="Bookman Old Style"/>
        <charset val="134"/>
      </rPr>
      <t>front office</t>
    </r>
    <r>
      <rPr>
        <sz val="9"/>
        <color theme="1"/>
        <rFont val="Bookman Old Style"/>
        <charset val="134"/>
      </rPr>
      <t xml:space="preserve"> dan </t>
    </r>
    <r>
      <rPr>
        <i/>
        <sz val="9"/>
        <color theme="1"/>
        <rFont val="Bookman Old Style"/>
        <charset val="134"/>
      </rPr>
      <t>back office</t>
    </r>
  </si>
  <si>
    <t>SDM IT cepat dalam menyelesaikan permasalahan IT</t>
  </si>
  <si>
    <r>
      <rPr>
        <sz val="9"/>
        <color theme="1"/>
        <rFont val="Bookman Old Style"/>
        <charset val="134"/>
      </rPr>
      <t xml:space="preserve">Maintenance berkala </t>
    </r>
    <r>
      <rPr>
        <b/>
        <sz val="9"/>
        <color theme="1"/>
        <rFont val="Bookman Old Style"/>
        <charset val="134"/>
      </rPr>
      <t xml:space="preserve">1 bulan s.d 3 bulan sekali </t>
    </r>
  </si>
  <si>
    <r>
      <rPr>
        <sz val="9"/>
        <color theme="1"/>
        <rFont val="Bookman Old Style"/>
        <charset val="134"/>
      </rPr>
      <t xml:space="preserve">SDM IT dan </t>
    </r>
    <r>
      <rPr>
        <i/>
        <sz val="9"/>
        <color theme="1"/>
        <rFont val="Bookman Old Style"/>
        <charset val="134"/>
      </rPr>
      <t>vendor</t>
    </r>
    <r>
      <rPr>
        <sz val="9"/>
        <color theme="1"/>
        <rFont val="Bookman Old Style"/>
        <charset val="134"/>
      </rPr>
      <t xml:space="preserve"> cepat dalam menyelesaikan permasalahan IT</t>
    </r>
  </si>
  <si>
    <r>
      <rPr>
        <i/>
        <sz val="9"/>
        <color theme="1"/>
        <rFont val="Bookman Old Style"/>
        <charset val="134"/>
      </rPr>
      <t>Maintenance</t>
    </r>
    <r>
      <rPr>
        <sz val="9"/>
        <color theme="1"/>
        <rFont val="Bookman Old Style"/>
        <charset val="134"/>
      </rPr>
      <t xml:space="preserve"> sistem berkala </t>
    </r>
    <r>
      <rPr>
        <b/>
        <sz val="9"/>
        <color theme="1"/>
        <rFont val="Bookman Old Style"/>
        <charset val="134"/>
      </rPr>
      <t>3 bulan s.d 6 bulan sekali</t>
    </r>
  </si>
  <si>
    <r>
      <rPr>
        <sz val="9"/>
        <color theme="1"/>
        <rFont val="Bookman Old Style"/>
        <charset val="134"/>
      </rPr>
      <t>Memiliki</t>
    </r>
    <r>
      <rPr>
        <i/>
        <sz val="9"/>
        <color theme="1"/>
        <rFont val="Bookman Old Style"/>
        <charset val="134"/>
      </rPr>
      <t xml:space="preserve"> Business Continuity Plan</t>
    </r>
    <r>
      <rPr>
        <sz val="9"/>
        <color theme="1"/>
        <rFont val="Bookman Old Style"/>
        <charset val="134"/>
      </rPr>
      <t xml:space="preserve"> (BCP) terkait sistem </t>
    </r>
    <r>
      <rPr>
        <i/>
        <sz val="9"/>
        <color theme="1"/>
        <rFont val="Bookman Old Style"/>
        <charset val="134"/>
      </rPr>
      <t xml:space="preserve">front office </t>
    </r>
    <r>
      <rPr>
        <sz val="9"/>
        <color theme="1"/>
        <rFont val="Bookman Old Style"/>
        <charset val="134"/>
      </rPr>
      <t xml:space="preserve">dan </t>
    </r>
    <r>
      <rPr>
        <i/>
        <sz val="9"/>
        <color theme="1"/>
        <rFont val="Bookman Old Style"/>
        <charset val="134"/>
      </rPr>
      <t>back office</t>
    </r>
  </si>
  <si>
    <r>
      <rPr>
        <sz val="9"/>
        <color theme="1"/>
        <rFont val="Bookman Old Style"/>
        <charset val="134"/>
      </rPr>
      <t xml:space="preserve">SDM IT </t>
    </r>
    <r>
      <rPr>
        <b/>
        <sz val="9"/>
        <color theme="1"/>
        <rFont val="Bookman Old Style"/>
        <charset val="134"/>
      </rPr>
      <t>lambat</t>
    </r>
    <r>
      <rPr>
        <sz val="9"/>
        <color theme="1"/>
        <rFont val="Bookman Old Style"/>
        <charset val="134"/>
      </rPr>
      <t xml:space="preserve"> dalam menyelesaikan permasalahan IT</t>
    </r>
  </si>
  <si>
    <r>
      <rPr>
        <sz val="9"/>
        <color theme="1"/>
        <rFont val="Bookman Old Style"/>
        <charset val="134"/>
      </rPr>
      <t xml:space="preserve">Memiliki Business Continuity Plan (BCP) terkait sistem </t>
    </r>
    <r>
      <rPr>
        <i/>
        <sz val="9"/>
        <color theme="1"/>
        <rFont val="Bookman Old Style"/>
        <charset val="134"/>
      </rPr>
      <t>front office</t>
    </r>
    <r>
      <rPr>
        <sz val="9"/>
        <color theme="1"/>
        <rFont val="Bookman Old Style"/>
        <charset val="134"/>
      </rPr>
      <t xml:space="preserve"> dan </t>
    </r>
    <r>
      <rPr>
        <i/>
        <sz val="9"/>
        <color theme="1"/>
        <rFont val="Bookman Old Style"/>
        <charset val="134"/>
      </rPr>
      <t>back office</t>
    </r>
  </si>
  <si>
    <r>
      <rPr>
        <sz val="9"/>
        <color theme="1"/>
        <rFont val="Bookman Old Style"/>
        <charset val="134"/>
      </rPr>
      <t xml:space="preserve">SDM IT </t>
    </r>
    <r>
      <rPr>
        <b/>
        <sz val="9"/>
        <color theme="1"/>
        <rFont val="Bookman Old Style"/>
        <charset val="134"/>
      </rPr>
      <t>lambat</t>
    </r>
    <r>
      <rPr>
        <sz val="9"/>
        <color theme="1"/>
        <rFont val="Bookman Old Style"/>
        <charset val="134"/>
      </rPr>
      <t xml:space="preserve"> mengeskalasi ke vendor namun</t>
    </r>
    <r>
      <rPr>
        <b/>
        <sz val="9"/>
        <color theme="1"/>
        <rFont val="Bookman Old Style"/>
        <charset val="134"/>
      </rPr>
      <t xml:space="preserve"> </t>
    </r>
    <r>
      <rPr>
        <i/>
        <sz val="9"/>
        <color theme="1"/>
        <rFont val="Bookman Old Style"/>
        <charset val="134"/>
      </rPr>
      <t>vendor</t>
    </r>
    <r>
      <rPr>
        <sz val="9"/>
        <color theme="1"/>
        <rFont val="Bookman Old Style"/>
        <charset val="134"/>
      </rPr>
      <t xml:space="preserve"> </t>
    </r>
    <r>
      <rPr>
        <b/>
        <sz val="9"/>
        <color theme="1"/>
        <rFont val="Bookman Old Style"/>
        <charset val="134"/>
      </rPr>
      <t>cepat</t>
    </r>
    <r>
      <rPr>
        <sz val="9"/>
        <color theme="1"/>
        <rFont val="Bookman Old Style"/>
        <charset val="134"/>
      </rPr>
      <t xml:space="preserve"> dalam menyelesaikan permasalahan IT</t>
    </r>
  </si>
  <si>
    <r>
      <rPr>
        <b/>
        <sz val="9"/>
        <color theme="1"/>
        <rFont val="Bookman Old Style"/>
        <charset val="134"/>
      </rPr>
      <t>Tidak</t>
    </r>
    <r>
      <rPr>
        <sz val="9"/>
        <color theme="1"/>
        <rFont val="Bookman Old Style"/>
        <charset val="134"/>
      </rPr>
      <t xml:space="preserve"> melakukan </t>
    </r>
    <r>
      <rPr>
        <i/>
        <sz val="9"/>
        <color theme="1"/>
        <rFont val="Bookman Old Style"/>
        <charset val="134"/>
      </rPr>
      <t>maintenance</t>
    </r>
    <r>
      <rPr>
        <sz val="9"/>
        <color theme="1"/>
        <rFont val="Bookman Old Style"/>
        <charset val="134"/>
      </rPr>
      <t xml:space="preserve"> sistem berkala</t>
    </r>
  </si>
  <si>
    <r>
      <rPr>
        <sz val="9"/>
        <color theme="1"/>
        <rFont val="Bookman Old Style"/>
        <charset val="134"/>
      </rPr>
      <t xml:space="preserve">SDM IT </t>
    </r>
    <r>
      <rPr>
        <b/>
        <sz val="9"/>
        <color theme="1"/>
        <rFont val="Bookman Old Style"/>
        <charset val="134"/>
      </rPr>
      <t>lambat</t>
    </r>
    <r>
      <rPr>
        <sz val="9"/>
        <color theme="1"/>
        <rFont val="Bookman Old Style"/>
        <charset val="134"/>
      </rPr>
      <t xml:space="preserve"> mengeskalasi masalah ke </t>
    </r>
    <r>
      <rPr>
        <i/>
        <sz val="9"/>
        <color theme="1"/>
        <rFont val="Bookman Old Style"/>
        <charset val="134"/>
      </rPr>
      <t>vendor</t>
    </r>
    <r>
      <rPr>
        <sz val="9"/>
        <color theme="1"/>
        <rFont val="Bookman Old Style"/>
        <charset val="134"/>
      </rPr>
      <t xml:space="preserve"> dan</t>
    </r>
    <r>
      <rPr>
        <b/>
        <sz val="9"/>
        <color theme="1"/>
        <rFont val="Bookman Old Style"/>
        <charset val="134"/>
      </rPr>
      <t xml:space="preserve"> </t>
    </r>
    <r>
      <rPr>
        <i/>
        <sz val="9"/>
        <color theme="1"/>
        <rFont val="Bookman Old Style"/>
        <charset val="134"/>
      </rPr>
      <t>vendor</t>
    </r>
    <r>
      <rPr>
        <sz val="9"/>
        <color theme="1"/>
        <rFont val="Bookman Old Style"/>
        <charset val="134"/>
      </rPr>
      <t xml:space="preserve"> </t>
    </r>
    <r>
      <rPr>
        <b/>
        <sz val="9"/>
        <color theme="1"/>
        <rFont val="Bookman Old Style"/>
        <charset val="134"/>
      </rPr>
      <t>lambat</t>
    </r>
    <r>
      <rPr>
        <sz val="9"/>
        <color theme="1"/>
        <rFont val="Bookman Old Style"/>
        <charset val="134"/>
      </rPr>
      <t xml:space="preserve"> dalam menyelesaikan permasalahan IT</t>
    </r>
  </si>
  <si>
    <t>5. Kemungkinan sistem diakses oleh pihak yang tidak terotorisasi.</t>
  </si>
  <si>
    <t>Memiliki POS terkait dengan keamanan informasi perusahaan</t>
  </si>
  <si>
    <t>Reviu berkala POS terkait dengan kemanan Informasi perusahaan dan diperbarui</t>
  </si>
  <si>
    <t>Perusahaan Memiliki mekanisme validasi instruksi transaksi yang komprehensif</t>
  </si>
  <si>
    <r>
      <rPr>
        <sz val="9"/>
        <color theme="1"/>
        <rFont val="Bookman Old Style"/>
        <charset val="134"/>
      </rPr>
      <t xml:space="preserve">Perusahaan Memiliki Infrastruktur Jaringan yang  sudah dilengkapi dengan </t>
    </r>
    <r>
      <rPr>
        <i/>
        <sz val="9"/>
        <color theme="1"/>
        <rFont val="Bookman Old Style"/>
        <charset val="134"/>
      </rPr>
      <t>Firewall,</t>
    </r>
    <r>
      <rPr>
        <sz val="9"/>
        <color theme="1"/>
        <rFont val="Bookman Old Style"/>
        <charset val="134"/>
      </rPr>
      <t xml:space="preserve"> </t>
    </r>
    <r>
      <rPr>
        <i/>
        <sz val="9"/>
        <color theme="1"/>
        <rFont val="Bookman Old Style"/>
        <charset val="134"/>
      </rPr>
      <t>Intrusion Prevention System</t>
    </r>
    <r>
      <rPr>
        <sz val="9"/>
        <color theme="1"/>
        <rFont val="Bookman Old Style"/>
        <charset val="134"/>
      </rPr>
      <t xml:space="preserve"> (IPS), atau</t>
    </r>
    <r>
      <rPr>
        <i/>
        <sz val="9"/>
        <color theme="1"/>
        <rFont val="Bookman Old Style"/>
        <charset val="134"/>
      </rPr>
      <t xml:space="preserve"> Intrusion Detection System</t>
    </r>
    <r>
      <rPr>
        <sz val="9"/>
        <color theme="1"/>
        <rFont val="Bookman Old Style"/>
        <charset val="134"/>
      </rPr>
      <t xml:space="preserve"> (IDS)</t>
    </r>
  </si>
  <si>
    <r>
      <rPr>
        <sz val="9"/>
        <color theme="1"/>
        <rFont val="Bookman Old Style"/>
        <charset val="134"/>
      </rPr>
      <t>Pembaharuan (</t>
    </r>
    <r>
      <rPr>
        <i/>
        <sz val="9"/>
        <color theme="1"/>
        <rFont val="Bookman Old Style"/>
        <charset val="134"/>
      </rPr>
      <t>updating</t>
    </r>
    <r>
      <rPr>
        <sz val="9"/>
        <color theme="1"/>
        <rFont val="Bookman Old Style"/>
        <charset val="134"/>
      </rPr>
      <t>) Antivirus dilakukan secara rutin</t>
    </r>
  </si>
  <si>
    <r>
      <rPr>
        <sz val="9"/>
        <color theme="1"/>
        <rFont val="Bookman Old Style"/>
        <charset val="134"/>
      </rPr>
      <t xml:space="preserve">Perusahaan memiliki aturan pembuatan kombinasi </t>
    </r>
    <r>
      <rPr>
        <i/>
        <sz val="9"/>
        <color theme="1"/>
        <rFont val="Bookman Old Style"/>
        <charset val="134"/>
      </rPr>
      <t>password</t>
    </r>
  </si>
  <si>
    <r>
      <rPr>
        <sz val="9"/>
        <color theme="1"/>
        <rFont val="Bookman Old Style"/>
        <charset val="134"/>
      </rPr>
      <t xml:space="preserve">Perusahaan melakukan pergantian </t>
    </r>
    <r>
      <rPr>
        <i/>
        <sz val="9"/>
        <color theme="1"/>
        <rFont val="Bookman Old Style"/>
        <charset val="134"/>
      </rPr>
      <t>password</t>
    </r>
    <r>
      <rPr>
        <sz val="9"/>
        <color theme="1"/>
        <rFont val="Bookman Old Style"/>
        <charset val="134"/>
      </rPr>
      <t xml:space="preserve"> administrator sistem </t>
    </r>
    <r>
      <rPr>
        <i/>
        <sz val="9"/>
        <color theme="1"/>
        <rFont val="Bookman Old Style"/>
        <charset val="134"/>
      </rPr>
      <t>front office</t>
    </r>
    <r>
      <rPr>
        <sz val="9"/>
        <color theme="1"/>
        <rFont val="Bookman Old Style"/>
        <charset val="134"/>
      </rPr>
      <t xml:space="preserve"> dan </t>
    </r>
    <r>
      <rPr>
        <i/>
        <sz val="9"/>
        <color theme="1"/>
        <rFont val="Bookman Old Style"/>
        <charset val="134"/>
      </rPr>
      <t>back office</t>
    </r>
    <r>
      <rPr>
        <sz val="9"/>
        <color theme="1"/>
        <rFont val="Bookman Old Style"/>
        <charset val="134"/>
      </rPr>
      <t xml:space="preserve"> secara rutin</t>
    </r>
  </si>
  <si>
    <t>Perusahaan Memiliki perbandingan yang sesuai antara Jumlah tenaga IT dengan jumlah sistem informasi.</t>
  </si>
  <si>
    <t>j.</t>
  </si>
  <si>
    <r>
      <rPr>
        <sz val="9"/>
        <color theme="1"/>
        <rFont val="Bookman Old Style"/>
        <charset val="134"/>
      </rPr>
      <t xml:space="preserve">Perusahaan tidak mengizinkan pertukaran informasi melalui </t>
    </r>
    <r>
      <rPr>
        <i/>
        <sz val="9"/>
        <color theme="1"/>
        <rFont val="Bookman Old Style"/>
        <charset val="134"/>
      </rPr>
      <t>flash disk</t>
    </r>
    <r>
      <rPr>
        <sz val="9"/>
        <color theme="1"/>
        <rFont val="Bookman Old Style"/>
        <charset val="134"/>
      </rPr>
      <t xml:space="preserve">, </t>
    </r>
    <r>
      <rPr>
        <i/>
        <sz val="9"/>
        <color theme="1"/>
        <rFont val="Bookman Old Style"/>
        <charset val="134"/>
      </rPr>
      <t>email</t>
    </r>
    <r>
      <rPr>
        <sz val="9"/>
        <color theme="1"/>
        <rFont val="Bookman Old Style"/>
        <charset val="134"/>
      </rPr>
      <t xml:space="preserve"> pribadi, dan media penyimpanan data lainnya</t>
    </r>
  </si>
  <si>
    <t>k.</t>
  </si>
  <si>
    <r>
      <rPr>
        <sz val="9"/>
        <color theme="1"/>
        <rFont val="Bookman Old Style"/>
        <charset val="134"/>
      </rPr>
      <t xml:space="preserve">Perusahaan melakukan pencatatan atas setiap aktivitas </t>
    </r>
    <r>
      <rPr>
        <i/>
        <sz val="9"/>
        <color theme="1"/>
        <rFont val="Bookman Old Style"/>
        <charset val="134"/>
      </rPr>
      <t>user</t>
    </r>
    <r>
      <rPr>
        <sz val="9"/>
        <color theme="1"/>
        <rFont val="Bookman Old Style"/>
        <charset val="134"/>
      </rPr>
      <t xml:space="preserve"> untuk setiap sistem informasi</t>
    </r>
  </si>
  <si>
    <t>l.</t>
  </si>
  <si>
    <r>
      <rPr>
        <sz val="9"/>
        <color theme="1"/>
        <rFont val="Bookman Old Style"/>
        <charset val="134"/>
      </rPr>
      <t>Perusahaan memiliki</t>
    </r>
    <r>
      <rPr>
        <i/>
        <sz val="9"/>
        <color theme="1"/>
        <rFont val="Bookman Old Style"/>
        <charset val="134"/>
      </rPr>
      <t xml:space="preserve"> clean desk policy</t>
    </r>
  </si>
  <si>
    <t>m.</t>
  </si>
  <si>
    <r>
      <rPr>
        <sz val="9"/>
        <color theme="1"/>
        <rFont val="Bookman Old Style"/>
        <charset val="134"/>
      </rPr>
      <t xml:space="preserve">Membatasi hak akses fisik ke ruangan </t>
    </r>
    <r>
      <rPr>
        <i/>
        <sz val="9"/>
        <color theme="1"/>
        <rFont val="Bookman Old Style"/>
        <charset val="134"/>
      </rPr>
      <t>server</t>
    </r>
  </si>
  <si>
    <t>n.</t>
  </si>
  <si>
    <t>Melakukan sosialisasi terkait keamanan sistem</t>
  </si>
  <si>
    <t>o.</t>
  </si>
  <si>
    <r>
      <rPr>
        <sz val="9"/>
        <color theme="1"/>
        <rFont val="Bookman Old Style"/>
        <charset val="134"/>
      </rPr>
      <t xml:space="preserve">Memiliki area </t>
    </r>
    <r>
      <rPr>
        <i/>
        <sz val="9"/>
        <color theme="1"/>
        <rFont val="Bookman Old Style"/>
        <charset val="134"/>
      </rPr>
      <t>development</t>
    </r>
    <r>
      <rPr>
        <sz val="9"/>
        <color theme="1"/>
        <rFont val="Bookman Old Style"/>
        <charset val="134"/>
      </rPr>
      <t xml:space="preserve"> untuk pengembangan</t>
    </r>
  </si>
  <si>
    <t>p.</t>
  </si>
  <si>
    <r>
      <rPr>
        <sz val="9"/>
        <color theme="1"/>
        <rFont val="Bookman Old Style"/>
        <charset val="134"/>
      </rPr>
      <t xml:space="preserve">Memiliki perjanjian Kerahasiaan Data dengan </t>
    </r>
    <r>
      <rPr>
        <i/>
        <sz val="9"/>
        <color theme="1"/>
        <rFont val="Bookman Old Style"/>
        <charset val="134"/>
      </rPr>
      <t>vendor</t>
    </r>
    <r>
      <rPr>
        <sz val="9"/>
        <color theme="1"/>
        <rFont val="Bookman Old Style"/>
        <charset val="134"/>
      </rPr>
      <t xml:space="preserve"> </t>
    </r>
  </si>
  <si>
    <t>Perusahaan memiliki POS terkait dengan keamanan Informasi Perusahaan</t>
  </si>
  <si>
    <r>
      <rPr>
        <sz val="9"/>
        <color theme="1"/>
        <rFont val="Bookman Old Style"/>
        <charset val="134"/>
      </rPr>
      <t xml:space="preserve">Perusahaan melakukan reviu POS secara </t>
    </r>
    <r>
      <rPr>
        <b/>
        <sz val="9"/>
        <color theme="1"/>
        <rFont val="Bookman Old Style"/>
        <charset val="134"/>
      </rPr>
      <t>insidentil</t>
    </r>
    <r>
      <rPr>
        <sz val="9"/>
        <color theme="1"/>
        <rFont val="Bookman Old Style"/>
        <charset val="134"/>
      </rPr>
      <t xml:space="preserve"> terkait dengan kemanan Informasi perusahaan dan diperbarui</t>
    </r>
  </si>
  <si>
    <t>Perusahaan memiliki mekanisme validasi instruksi transaksi yang komprehensif</t>
  </si>
  <si>
    <r>
      <rPr>
        <sz val="9"/>
        <color theme="1"/>
        <rFont val="Bookman Old Style"/>
        <charset val="134"/>
      </rPr>
      <t xml:space="preserve">Perusahaan </t>
    </r>
    <r>
      <rPr>
        <b/>
        <sz val="9"/>
        <color theme="1"/>
        <rFont val="Bookman Old Style"/>
        <charset val="134"/>
      </rPr>
      <t xml:space="preserve">Tidak </t>
    </r>
    <r>
      <rPr>
        <sz val="9"/>
        <color theme="1"/>
        <rFont val="Bookman Old Style"/>
        <charset val="134"/>
      </rPr>
      <t>memiliki aturan pembuatan kombinasi password</t>
    </r>
  </si>
  <si>
    <r>
      <rPr>
        <sz val="9"/>
        <color theme="1"/>
        <rFont val="Bookman Old Style"/>
        <charset val="134"/>
      </rPr>
      <t xml:space="preserve">Perusahaan melakukan pergantian </t>
    </r>
    <r>
      <rPr>
        <i/>
        <sz val="9"/>
        <color theme="1"/>
        <rFont val="Bookman Old Style"/>
        <charset val="134"/>
      </rPr>
      <t>password</t>
    </r>
    <r>
      <rPr>
        <sz val="9"/>
        <color theme="1"/>
        <rFont val="Bookman Old Style"/>
        <charset val="134"/>
      </rPr>
      <t xml:space="preserve"> administrator sistem</t>
    </r>
    <r>
      <rPr>
        <i/>
        <sz val="9"/>
        <color theme="1"/>
        <rFont val="Bookman Old Style"/>
        <charset val="134"/>
      </rPr>
      <t xml:space="preserve"> front office</t>
    </r>
    <r>
      <rPr>
        <sz val="9"/>
        <color theme="1"/>
        <rFont val="Bookman Old Style"/>
        <charset val="134"/>
      </rPr>
      <t xml:space="preserve"> dan </t>
    </r>
    <r>
      <rPr>
        <i/>
        <sz val="9"/>
        <color theme="1"/>
        <rFont val="Bookman Old Style"/>
        <charset val="134"/>
      </rPr>
      <t>back office</t>
    </r>
    <r>
      <rPr>
        <sz val="9"/>
        <color theme="1"/>
        <rFont val="Bookman Old Style"/>
        <charset val="134"/>
      </rPr>
      <t xml:space="preserve"> secara rutin</t>
    </r>
  </si>
  <si>
    <r>
      <rPr>
        <sz val="9"/>
        <color theme="1"/>
        <rFont val="Bookman Old Style"/>
        <charset val="134"/>
      </rPr>
      <t xml:space="preserve">Perusahaan memiliki perbandingan </t>
    </r>
    <r>
      <rPr>
        <b/>
        <sz val="9"/>
        <color theme="1"/>
        <rFont val="Bookman Old Style"/>
        <charset val="134"/>
      </rPr>
      <t>1:1</t>
    </r>
    <r>
      <rPr>
        <sz val="9"/>
        <color theme="1"/>
        <rFont val="Bookman Old Style"/>
        <charset val="134"/>
      </rPr>
      <t xml:space="preserve"> antara Jumlah Tenaga IT dengan Jumlah Sistem Informasi, tidak ada </t>
    </r>
    <r>
      <rPr>
        <i/>
        <sz val="9"/>
        <color theme="1"/>
        <rFont val="Bookman Old Style"/>
        <charset val="134"/>
      </rPr>
      <t>backup</t>
    </r>
    <r>
      <rPr>
        <sz val="9"/>
        <color theme="1"/>
        <rFont val="Bookman Old Style"/>
        <charset val="134"/>
      </rPr>
      <t xml:space="preserve"> untuk setiap Sistem informasi</t>
    </r>
  </si>
  <si>
    <r>
      <rPr>
        <sz val="9"/>
        <color theme="1"/>
        <rFont val="Bookman Old Style"/>
        <charset val="134"/>
      </rPr>
      <t xml:space="preserve">Perusahaan </t>
    </r>
    <r>
      <rPr>
        <b/>
        <sz val="9"/>
        <color theme="1"/>
        <rFont val="Bookman Old Style"/>
        <charset val="134"/>
      </rPr>
      <t>mengizinkan</t>
    </r>
    <r>
      <rPr>
        <sz val="9"/>
        <color theme="1"/>
        <rFont val="Bookman Old Style"/>
        <charset val="134"/>
      </rPr>
      <t xml:space="preserve"> pertukaran informasi melalui </t>
    </r>
    <r>
      <rPr>
        <i/>
        <sz val="9"/>
        <color theme="1"/>
        <rFont val="Bookman Old Style"/>
        <charset val="134"/>
      </rPr>
      <t>flash disk</t>
    </r>
    <r>
      <rPr>
        <sz val="9"/>
        <color theme="1"/>
        <rFont val="Bookman Old Style"/>
        <charset val="134"/>
      </rPr>
      <t xml:space="preserve">, </t>
    </r>
    <r>
      <rPr>
        <i/>
        <sz val="9"/>
        <color theme="1"/>
        <rFont val="Bookman Old Style"/>
        <charset val="134"/>
      </rPr>
      <t>email</t>
    </r>
    <r>
      <rPr>
        <sz val="9"/>
        <color theme="1"/>
        <rFont val="Bookman Old Style"/>
        <charset val="134"/>
      </rPr>
      <t xml:space="preserve"> pribadi, dan media penyimpanan data lainnya</t>
    </r>
  </si>
  <si>
    <r>
      <rPr>
        <sz val="9"/>
        <color theme="1"/>
        <rFont val="Bookman Old Style"/>
        <charset val="134"/>
      </rPr>
      <t xml:space="preserve">Perusahaan </t>
    </r>
    <r>
      <rPr>
        <b/>
        <sz val="9"/>
        <color theme="1"/>
        <rFont val="Bookman Old Style"/>
        <charset val="134"/>
      </rPr>
      <t xml:space="preserve">Tidak </t>
    </r>
    <r>
      <rPr>
        <sz val="9"/>
        <color theme="1"/>
        <rFont val="Bookman Old Style"/>
        <charset val="134"/>
      </rPr>
      <t xml:space="preserve">memiliki </t>
    </r>
    <r>
      <rPr>
        <i/>
        <sz val="9"/>
        <color theme="1"/>
        <rFont val="Bookman Old Style"/>
        <charset val="134"/>
      </rPr>
      <t>clean desk policy</t>
    </r>
  </si>
  <si>
    <r>
      <rPr>
        <b/>
        <sz val="9"/>
        <color theme="1"/>
        <rFont val="Bookman Old Style"/>
        <charset val="134"/>
      </rPr>
      <t>Tidak</t>
    </r>
    <r>
      <rPr>
        <sz val="9"/>
        <color theme="1"/>
        <rFont val="Bookman Old Style"/>
        <charset val="134"/>
      </rPr>
      <t xml:space="preserve"> Melakukan sosialisasi terkait keamanan sistem</t>
    </r>
  </si>
  <si>
    <r>
      <rPr>
        <sz val="9"/>
        <color theme="1"/>
        <rFont val="Bookman Old Style"/>
        <charset val="134"/>
      </rPr>
      <t xml:space="preserve">Memiliki perjanjian Kerahasiaan Data dengan </t>
    </r>
    <r>
      <rPr>
        <i/>
        <sz val="9"/>
        <color theme="1"/>
        <rFont val="Bookman Old Style"/>
        <charset val="134"/>
      </rPr>
      <t>vendor</t>
    </r>
  </si>
  <si>
    <r>
      <rPr>
        <sz val="9"/>
        <color theme="1"/>
        <rFont val="Bookman Old Style"/>
        <charset val="134"/>
      </rPr>
      <t xml:space="preserve">Perusahaan melakukan reviu POS secara </t>
    </r>
    <r>
      <rPr>
        <b/>
        <sz val="9"/>
        <color theme="1"/>
        <rFont val="Bookman Old Style"/>
        <charset val="134"/>
      </rPr>
      <t>insidentil</t>
    </r>
    <r>
      <rPr>
        <sz val="9"/>
        <color theme="1"/>
        <rFont val="Bookman Old Style"/>
        <charset val="134"/>
      </rPr>
      <t xml:space="preserve"> terkait dengan kemanan Informasi perusahaan dan tidak diperbarui</t>
    </r>
  </si>
  <si>
    <r>
      <rPr>
        <sz val="9"/>
        <color theme="1"/>
        <rFont val="Bookman Old Style"/>
        <charset val="134"/>
      </rPr>
      <t xml:space="preserve">Perusahaan Memiliki Infrastruktur Jaringan yang  sudah dilengkapi dengan </t>
    </r>
    <r>
      <rPr>
        <i/>
        <sz val="9"/>
        <color theme="1"/>
        <rFont val="Bookman Old Style"/>
        <charset val="134"/>
      </rPr>
      <t>Firewall,</t>
    </r>
    <r>
      <rPr>
        <sz val="9"/>
        <color theme="1"/>
        <rFont val="Bookman Old Style"/>
        <charset val="134"/>
      </rPr>
      <t xml:space="preserve"> </t>
    </r>
    <r>
      <rPr>
        <i/>
        <sz val="9"/>
        <color theme="1"/>
        <rFont val="Bookman Old Style"/>
        <charset val="134"/>
      </rPr>
      <t xml:space="preserve">Intrusion Prevention System </t>
    </r>
    <r>
      <rPr>
        <sz val="9"/>
        <color theme="1"/>
        <rFont val="Bookman Old Style"/>
        <charset val="134"/>
      </rPr>
      <t xml:space="preserve">(IPS), atau </t>
    </r>
    <r>
      <rPr>
        <i/>
        <sz val="9"/>
        <color theme="1"/>
        <rFont val="Bookman Old Style"/>
        <charset val="134"/>
      </rPr>
      <t xml:space="preserve">Intrusion Detection System </t>
    </r>
    <r>
      <rPr>
        <sz val="9"/>
        <color theme="1"/>
        <rFont val="Bookman Old Style"/>
        <charset val="134"/>
      </rPr>
      <t>(IDS)</t>
    </r>
  </si>
  <si>
    <r>
      <rPr>
        <sz val="9"/>
        <color theme="1"/>
        <rFont val="Bookman Old Style"/>
        <charset val="134"/>
      </rPr>
      <t xml:space="preserve">Perusahaan </t>
    </r>
    <r>
      <rPr>
        <b/>
        <sz val="9"/>
        <color theme="1"/>
        <rFont val="Bookman Old Style"/>
        <charset val="134"/>
      </rPr>
      <t xml:space="preserve">Tidak </t>
    </r>
    <r>
      <rPr>
        <sz val="9"/>
        <color theme="1"/>
        <rFont val="Bookman Old Style"/>
        <charset val="134"/>
      </rPr>
      <t xml:space="preserve">memiliki aturan pembuatan kombinasi </t>
    </r>
    <r>
      <rPr>
        <i/>
        <sz val="9"/>
        <color theme="1"/>
        <rFont val="Bookman Old Style"/>
        <charset val="134"/>
      </rPr>
      <t>password</t>
    </r>
  </si>
  <si>
    <r>
      <rPr>
        <sz val="9"/>
        <color theme="1"/>
        <rFont val="Bookman Old Style"/>
        <charset val="134"/>
      </rPr>
      <t xml:space="preserve">Perusahaan melakukan pergantian password administrator sistem </t>
    </r>
    <r>
      <rPr>
        <i/>
        <sz val="9"/>
        <color theme="1"/>
        <rFont val="Bookman Old Style"/>
        <charset val="134"/>
      </rPr>
      <t>front office</t>
    </r>
    <r>
      <rPr>
        <sz val="9"/>
        <color theme="1"/>
        <rFont val="Bookman Old Style"/>
        <charset val="134"/>
      </rPr>
      <t xml:space="preserve"> dan </t>
    </r>
    <r>
      <rPr>
        <i/>
        <sz val="9"/>
        <color theme="1"/>
        <rFont val="Bookman Old Style"/>
        <charset val="134"/>
      </rPr>
      <t>back office</t>
    </r>
    <r>
      <rPr>
        <sz val="9"/>
        <color theme="1"/>
        <rFont val="Bookman Old Style"/>
        <charset val="134"/>
      </rPr>
      <t xml:space="preserve"> secara rutin</t>
    </r>
  </si>
  <si>
    <r>
      <rPr>
        <sz val="9"/>
        <color theme="1"/>
        <rFont val="Bookman Old Style"/>
        <charset val="134"/>
      </rPr>
      <t xml:space="preserve">Perusahaan memiliki perbandingan &gt; </t>
    </r>
    <r>
      <rPr>
        <b/>
        <sz val="9"/>
        <color theme="1"/>
        <rFont val="Bookman Old Style"/>
        <charset val="134"/>
      </rPr>
      <t>1:2</t>
    </r>
    <r>
      <rPr>
        <sz val="9"/>
        <color theme="1"/>
        <rFont val="Bookman Old Style"/>
        <charset val="134"/>
      </rPr>
      <t xml:space="preserve"> antara Jumlah Tenaga IT dengan Jumlah Sistem Informasi, tidak ada Backup untuk setiap SIstem informasi</t>
    </r>
  </si>
  <si>
    <r>
      <rPr>
        <sz val="9"/>
        <color theme="1"/>
        <rFont val="Bookman Old Style"/>
        <charset val="134"/>
      </rPr>
      <t xml:space="preserve">Perusahaan </t>
    </r>
    <r>
      <rPr>
        <b/>
        <sz val="9"/>
        <color theme="1"/>
        <rFont val="Bookman Old Style"/>
        <charset val="134"/>
      </rPr>
      <t>mengizinkan</t>
    </r>
    <r>
      <rPr>
        <sz val="9"/>
        <color theme="1"/>
        <rFont val="Bookman Old Style"/>
        <charset val="134"/>
      </rPr>
      <t xml:space="preserve"> pertukaran informasi melalui flash disk, email pribadi, dan media penyimpanan data lainnya</t>
    </r>
  </si>
  <si>
    <t>Perusahaan melakukan pencatatan atas setiap aktivitas user untuk setiap sistem informasi</t>
  </si>
  <si>
    <r>
      <rPr>
        <b/>
        <sz val="9"/>
        <color theme="1"/>
        <rFont val="Bookman Old Style"/>
        <charset val="134"/>
      </rPr>
      <t>Tidak</t>
    </r>
    <r>
      <rPr>
        <sz val="9"/>
        <color theme="1"/>
        <rFont val="Bookman Old Style"/>
        <charset val="134"/>
      </rPr>
      <t xml:space="preserve"> melakukan sosialisasi terkait keamanan sistem</t>
    </r>
  </si>
  <si>
    <r>
      <rPr>
        <sz val="9"/>
        <color theme="1"/>
        <rFont val="Bookman Old Style"/>
        <charset val="134"/>
      </rPr>
      <t xml:space="preserve">Perusahaan </t>
    </r>
    <r>
      <rPr>
        <b/>
        <sz val="9"/>
        <color theme="1"/>
        <rFont val="Bookman Old Style"/>
        <charset val="134"/>
      </rPr>
      <t xml:space="preserve">Tidak </t>
    </r>
    <r>
      <rPr>
        <sz val="9"/>
        <color theme="1"/>
        <rFont val="Bookman Old Style"/>
        <charset val="134"/>
      </rPr>
      <t>memiliki POS terkait dengan keamanan Informasi Perusahaan, tetapi memiliki Kebijakan Tidak Tertulis</t>
    </r>
  </si>
  <si>
    <r>
      <rPr>
        <sz val="9"/>
        <color theme="1"/>
        <rFont val="Bookman Old Style"/>
        <charset val="134"/>
      </rPr>
      <t xml:space="preserve">Kebijakan Tidak Tertulis tersebut direviu </t>
    </r>
    <r>
      <rPr>
        <b/>
        <sz val="9"/>
        <color theme="1"/>
        <rFont val="Bookman Old Style"/>
        <charset val="134"/>
      </rPr>
      <t>insidentil</t>
    </r>
    <r>
      <rPr>
        <sz val="9"/>
        <color theme="1"/>
        <rFont val="Bookman Old Style"/>
        <charset val="134"/>
      </rPr>
      <t xml:space="preserve"> dan diperbarui</t>
    </r>
  </si>
  <si>
    <r>
      <rPr>
        <sz val="9"/>
        <color theme="1"/>
        <rFont val="Bookman Old Style"/>
        <charset val="134"/>
      </rPr>
      <t xml:space="preserve">Perusahaan Memiliki Infrastruktur Jaringan yang  sudah dilengkapi dengan </t>
    </r>
    <r>
      <rPr>
        <i/>
        <sz val="9"/>
        <color theme="1"/>
        <rFont val="Bookman Old Style"/>
        <charset val="134"/>
      </rPr>
      <t>Firewall</t>
    </r>
    <r>
      <rPr>
        <sz val="9"/>
        <color theme="1"/>
        <rFont val="Bookman Old Style"/>
        <charset val="134"/>
      </rPr>
      <t xml:space="preserve">, </t>
    </r>
    <r>
      <rPr>
        <i/>
        <sz val="9"/>
        <color theme="1"/>
        <rFont val="Bookman Old Style"/>
        <charset val="134"/>
      </rPr>
      <t>Intrusion Prevention System</t>
    </r>
    <r>
      <rPr>
        <sz val="9"/>
        <color theme="1"/>
        <rFont val="Bookman Old Style"/>
        <charset val="134"/>
      </rPr>
      <t xml:space="preserve"> (IPS), atau </t>
    </r>
    <r>
      <rPr>
        <i/>
        <sz val="9"/>
        <color theme="1"/>
        <rFont val="Bookman Old Style"/>
        <charset val="134"/>
      </rPr>
      <t xml:space="preserve">Intrusion Detection System </t>
    </r>
    <r>
      <rPr>
        <sz val="9"/>
        <color theme="1"/>
        <rFont val="Bookman Old Style"/>
        <charset val="134"/>
      </rPr>
      <t>(IDS)</t>
    </r>
  </si>
  <si>
    <r>
      <rPr>
        <sz val="9"/>
        <color theme="1"/>
        <rFont val="Bookman Old Style"/>
        <charset val="134"/>
      </rPr>
      <t xml:space="preserve">Perusahaan </t>
    </r>
    <r>
      <rPr>
        <b/>
        <sz val="9"/>
        <color theme="1"/>
        <rFont val="Bookman Old Style"/>
        <charset val="134"/>
      </rPr>
      <t>Tidak</t>
    </r>
    <r>
      <rPr>
        <sz val="9"/>
        <color theme="1"/>
        <rFont val="Bookman Old Style"/>
        <charset val="134"/>
      </rPr>
      <t xml:space="preserve"> melakukan pergantian </t>
    </r>
    <r>
      <rPr>
        <i/>
        <sz val="9"/>
        <color theme="1"/>
        <rFont val="Bookman Old Style"/>
        <charset val="134"/>
      </rPr>
      <t>password</t>
    </r>
    <r>
      <rPr>
        <sz val="9"/>
        <color theme="1"/>
        <rFont val="Bookman Old Style"/>
        <charset val="134"/>
      </rPr>
      <t xml:space="preserve"> administrator sistem</t>
    </r>
    <r>
      <rPr>
        <i/>
        <sz val="9"/>
        <color theme="1"/>
        <rFont val="Bookman Old Style"/>
        <charset val="134"/>
      </rPr>
      <t xml:space="preserve"> front office</t>
    </r>
    <r>
      <rPr>
        <sz val="9"/>
        <color theme="1"/>
        <rFont val="Bookman Old Style"/>
        <charset val="134"/>
      </rPr>
      <t xml:space="preserve"> dan </t>
    </r>
    <r>
      <rPr>
        <i/>
        <sz val="9"/>
        <color theme="1"/>
        <rFont val="Bookman Old Style"/>
        <charset val="134"/>
      </rPr>
      <t xml:space="preserve">back office </t>
    </r>
    <r>
      <rPr>
        <sz val="9"/>
        <color theme="1"/>
        <rFont val="Bookman Old Style"/>
        <charset val="134"/>
      </rPr>
      <t>secara rutin</t>
    </r>
  </si>
  <si>
    <r>
      <rPr>
        <sz val="9"/>
        <color theme="1"/>
        <rFont val="Bookman Old Style"/>
        <charset val="134"/>
      </rPr>
      <t xml:space="preserve">Perusahaan memiliki perbandingan  </t>
    </r>
    <r>
      <rPr>
        <b/>
        <sz val="9"/>
        <color theme="1"/>
        <rFont val="Bookman Old Style"/>
        <charset val="134"/>
      </rPr>
      <t>&gt;</t>
    </r>
    <r>
      <rPr>
        <sz val="9"/>
        <color theme="1"/>
        <rFont val="Bookman Old Style"/>
        <charset val="134"/>
      </rPr>
      <t xml:space="preserve"> </t>
    </r>
    <r>
      <rPr>
        <b/>
        <sz val="9"/>
        <color theme="1"/>
        <rFont val="Bookman Old Style"/>
        <charset val="134"/>
      </rPr>
      <t>1:5</t>
    </r>
    <r>
      <rPr>
        <sz val="9"/>
        <color theme="1"/>
        <rFont val="Bookman Old Style"/>
        <charset val="134"/>
      </rPr>
      <t xml:space="preserve"> antara Jumlah Tenaga IT dengan Jumlah Sistem Informasi, tidak ada Backup untuk setiap SIstem informasi</t>
    </r>
  </si>
  <si>
    <r>
      <rPr>
        <sz val="9"/>
        <color theme="1"/>
        <rFont val="Bookman Old Style"/>
        <charset val="134"/>
      </rPr>
      <t xml:space="preserve">Perusahaan </t>
    </r>
    <r>
      <rPr>
        <b/>
        <sz val="9"/>
        <color theme="1"/>
        <rFont val="Bookman Old Style"/>
        <charset val="134"/>
      </rPr>
      <t xml:space="preserve">Tidak </t>
    </r>
    <r>
      <rPr>
        <sz val="9"/>
        <color theme="1"/>
        <rFont val="Bookman Old Style"/>
        <charset val="134"/>
      </rPr>
      <t xml:space="preserve">melakukan pencatatan atas setiap aktivitas </t>
    </r>
    <r>
      <rPr>
        <i/>
        <sz val="9"/>
        <color theme="1"/>
        <rFont val="Bookman Old Style"/>
        <charset val="134"/>
      </rPr>
      <t>user</t>
    </r>
    <r>
      <rPr>
        <sz val="9"/>
        <color theme="1"/>
        <rFont val="Bookman Old Style"/>
        <charset val="134"/>
      </rPr>
      <t xml:space="preserve"> untuk setiap sistem informasi</t>
    </r>
  </si>
  <si>
    <r>
      <rPr>
        <sz val="9"/>
        <color theme="1"/>
        <rFont val="Bookman Old Style"/>
        <charset val="134"/>
      </rPr>
      <t xml:space="preserve">Perusahaan </t>
    </r>
    <r>
      <rPr>
        <b/>
        <sz val="9"/>
        <color theme="1"/>
        <rFont val="Bookman Old Style"/>
        <charset val="134"/>
      </rPr>
      <t xml:space="preserve">Tidak </t>
    </r>
    <r>
      <rPr>
        <sz val="9"/>
        <color theme="1"/>
        <rFont val="Bookman Old Style"/>
        <charset val="134"/>
      </rPr>
      <t>memiliki POS maupun kebijakan terkait dengan keamanan Informasi Perusahaan</t>
    </r>
  </si>
  <si>
    <t>b</t>
  </si>
  <si>
    <r>
      <rPr>
        <sz val="9"/>
        <color theme="1"/>
        <rFont val="Bookman Old Style"/>
        <charset val="134"/>
      </rPr>
      <t xml:space="preserve">Perusahaan </t>
    </r>
    <r>
      <rPr>
        <b/>
        <sz val="9"/>
        <color theme="1"/>
        <rFont val="Bookman Old Style"/>
        <charset val="134"/>
      </rPr>
      <t xml:space="preserve">Tidak </t>
    </r>
    <r>
      <rPr>
        <sz val="9"/>
        <color theme="1"/>
        <rFont val="Bookman Old Style"/>
        <charset val="134"/>
      </rPr>
      <t>Memiliki mekanisme validasi instruksi transaksi yang komprehensif</t>
    </r>
  </si>
  <si>
    <r>
      <rPr>
        <sz val="9"/>
        <color theme="1"/>
        <rFont val="Bookman Old Style"/>
        <charset val="134"/>
      </rPr>
      <t xml:space="preserve">Perusahaan </t>
    </r>
    <r>
      <rPr>
        <b/>
        <sz val="9"/>
        <color theme="1"/>
        <rFont val="Bookman Old Style"/>
        <charset val="134"/>
      </rPr>
      <t xml:space="preserve">Tidak </t>
    </r>
    <r>
      <rPr>
        <sz val="9"/>
        <color theme="1"/>
        <rFont val="Bookman Old Style"/>
        <charset val="134"/>
      </rPr>
      <t xml:space="preserve">Memiliki Infrastruktur Jaringan yang  sudah dilengkapi dengan </t>
    </r>
    <r>
      <rPr>
        <i/>
        <sz val="9"/>
        <color theme="1"/>
        <rFont val="Bookman Old Style"/>
        <charset val="134"/>
      </rPr>
      <t>Firewall,</t>
    </r>
    <r>
      <rPr>
        <sz val="9"/>
        <color theme="1"/>
        <rFont val="Bookman Old Style"/>
        <charset val="134"/>
      </rPr>
      <t xml:space="preserve"> </t>
    </r>
    <r>
      <rPr>
        <i/>
        <sz val="9"/>
        <color theme="1"/>
        <rFont val="Bookman Old Style"/>
        <charset val="134"/>
      </rPr>
      <t>Intrusion Prevention System</t>
    </r>
    <r>
      <rPr>
        <sz val="9"/>
        <color theme="1"/>
        <rFont val="Bookman Old Style"/>
        <charset val="134"/>
      </rPr>
      <t xml:space="preserve"> (IPS), atau</t>
    </r>
    <r>
      <rPr>
        <i/>
        <sz val="9"/>
        <color theme="1"/>
        <rFont val="Bookman Old Style"/>
        <charset val="134"/>
      </rPr>
      <t xml:space="preserve"> Intrusion Detection System</t>
    </r>
    <r>
      <rPr>
        <sz val="9"/>
        <color theme="1"/>
        <rFont val="Bookman Old Style"/>
        <charset val="134"/>
      </rPr>
      <t xml:space="preserve"> (IDS)</t>
    </r>
  </si>
  <si>
    <r>
      <rPr>
        <sz val="9"/>
        <color theme="1"/>
        <rFont val="Bookman Old Style"/>
        <charset val="134"/>
      </rPr>
      <t xml:space="preserve">Perusahaan </t>
    </r>
    <r>
      <rPr>
        <b/>
        <sz val="9"/>
        <color theme="1"/>
        <rFont val="Bookman Old Style"/>
        <charset val="134"/>
      </rPr>
      <t>Tidak</t>
    </r>
    <r>
      <rPr>
        <sz val="9"/>
        <color theme="1"/>
        <rFont val="Bookman Old Style"/>
        <charset val="134"/>
      </rPr>
      <t xml:space="preserve"> melakukan pergantian </t>
    </r>
    <r>
      <rPr>
        <i/>
        <sz val="9"/>
        <color theme="1"/>
        <rFont val="Bookman Old Style"/>
        <charset val="134"/>
      </rPr>
      <t>password</t>
    </r>
    <r>
      <rPr>
        <sz val="9"/>
        <color theme="1"/>
        <rFont val="Bookman Old Style"/>
        <charset val="134"/>
      </rPr>
      <t xml:space="preserve"> administrator </t>
    </r>
    <r>
      <rPr>
        <i/>
        <sz val="9"/>
        <color theme="1"/>
        <rFont val="Bookman Old Style"/>
        <charset val="134"/>
      </rPr>
      <t>sistem front office</t>
    </r>
    <r>
      <rPr>
        <sz val="9"/>
        <color theme="1"/>
        <rFont val="Bookman Old Style"/>
        <charset val="134"/>
      </rPr>
      <t xml:space="preserve"> dan </t>
    </r>
    <r>
      <rPr>
        <i/>
        <sz val="9"/>
        <color theme="1"/>
        <rFont val="Bookman Old Style"/>
        <charset val="134"/>
      </rPr>
      <t>back office</t>
    </r>
    <r>
      <rPr>
        <sz val="9"/>
        <color theme="1"/>
        <rFont val="Bookman Old Style"/>
        <charset val="134"/>
      </rPr>
      <t xml:space="preserve"> secara rutin</t>
    </r>
  </si>
  <si>
    <r>
      <rPr>
        <b/>
        <sz val="9"/>
        <color theme="1"/>
        <rFont val="Bookman Old Style"/>
        <charset val="134"/>
      </rPr>
      <t>Tidak</t>
    </r>
    <r>
      <rPr>
        <sz val="9"/>
        <color theme="1"/>
        <rFont val="Bookman Old Style"/>
        <charset val="134"/>
      </rPr>
      <t xml:space="preserve"> Membatasi hak akses fisik ke ruangan </t>
    </r>
    <r>
      <rPr>
        <i/>
        <sz val="9"/>
        <color theme="1"/>
        <rFont val="Bookman Old Style"/>
        <charset val="134"/>
      </rPr>
      <t>server</t>
    </r>
  </si>
  <si>
    <r>
      <rPr>
        <b/>
        <sz val="9"/>
        <color theme="1"/>
        <rFont val="Bookman Old Style"/>
        <charset val="134"/>
      </rPr>
      <t>Tidak</t>
    </r>
    <r>
      <rPr>
        <sz val="9"/>
        <color theme="1"/>
        <rFont val="Bookman Old Style"/>
        <charset val="134"/>
      </rPr>
      <t xml:space="preserve"> Memiliki area </t>
    </r>
    <r>
      <rPr>
        <i/>
        <sz val="9"/>
        <color theme="1"/>
        <rFont val="Bookman Old Style"/>
        <charset val="134"/>
      </rPr>
      <t>development</t>
    </r>
    <r>
      <rPr>
        <sz val="9"/>
        <color theme="1"/>
        <rFont val="Bookman Old Style"/>
        <charset val="134"/>
      </rPr>
      <t xml:space="preserve"> untuk pengembangan</t>
    </r>
  </si>
  <si>
    <r>
      <rPr>
        <b/>
        <sz val="9"/>
        <color theme="1"/>
        <rFont val="Bookman Old Style"/>
        <charset val="134"/>
      </rPr>
      <t>Tidak</t>
    </r>
    <r>
      <rPr>
        <sz val="9"/>
        <color theme="1"/>
        <rFont val="Bookman Old Style"/>
        <charset val="134"/>
      </rPr>
      <t xml:space="preserve"> Memiliki perjanjian Kerahasiaan Data dengan </t>
    </r>
    <r>
      <rPr>
        <i/>
        <sz val="9"/>
        <color theme="1"/>
        <rFont val="Bookman Old Style"/>
        <charset val="134"/>
      </rPr>
      <t>vendor</t>
    </r>
  </si>
  <si>
    <t>RISIKO KREDIT</t>
  </si>
  <si>
    <t>Parameter Risiko Inheren</t>
  </si>
  <si>
    <t>1. Gagal Serah Nasabah Kelembagaan (NK)</t>
  </si>
  <si>
    <t>Rata-Rata Nilai transaksi beli nasabah kelembagaan sebesar dalam enam bulan terakhir: &lt; Rp1.799.884.553</t>
  </si>
  <si>
    <t>Memiliki POS terkait mekanisme gagal bayar oleh Nasabah Kelembagaan yang memadai</t>
  </si>
  <si>
    <t xml:space="preserve">Tidak pernah mengalami Gagal Serah Nasabah Kelembagaan </t>
  </si>
  <si>
    <t>POS diimplementasikan, diawasi dan diperiksa</t>
  </si>
  <si>
    <t>POS direviu secara berkala, diperbaharui, dan tidak pernah dilanggar</t>
  </si>
  <si>
    <t>Rata-Rata Nilai transaksi beli nasabah kelembagaan sebesar dalam enam bulan terakhir: Rp1.799.884.553 - Rp64.190.679.274</t>
  </si>
  <si>
    <t>Nilai Gagal Serah Nasabah Kelembagaan: 0 &lt; x &lt; Rp1.616.977.677</t>
  </si>
  <si>
    <t>Frekuensi Gagal Serah Nasabah Kelembagaan: 1 kali - 29 kali</t>
  </si>
  <si>
    <t>POS direviu secara insidentil dan diperbarui</t>
  </si>
  <si>
    <t>Frekuensi Mengendap Gagal Serah Nasabah Kelembagaan: 1 kali - 29 kali</t>
  </si>
  <si>
    <t>Rata-Rata Nilai transaksi beli nasabah kelembagaan sebesar dalam enam bulan terakhir: Rp64.190.679.274 - Rp109.565.802.707</t>
  </si>
  <si>
    <r>
      <rPr>
        <sz val="10"/>
        <color theme="1"/>
        <rFont val="Bookman Old Style"/>
        <charset val="134"/>
      </rPr>
      <t xml:space="preserve">Memiliki POS terkait mekanisme gagal bayar oleh Nasabah Kelembagaan yang </t>
    </r>
    <r>
      <rPr>
        <b/>
        <sz val="10"/>
        <color theme="1"/>
        <rFont val="Bookman Old Style"/>
        <charset val="134"/>
      </rPr>
      <t>tidak</t>
    </r>
    <r>
      <rPr>
        <sz val="10"/>
        <color theme="1"/>
        <rFont val="Bookman Old Style"/>
        <charset val="134"/>
      </rPr>
      <t xml:space="preserve"> memadai atau kebijakan tertulis selain POS</t>
    </r>
  </si>
  <si>
    <t>Nilai Gagal Serah Nasabah Kelembagaan: Rp1.616.977.677 - Rp2.425.466.516</t>
  </si>
  <si>
    <t>POS diimplementasikan, Diawasi dan Diperiksa</t>
  </si>
  <si>
    <t>Frekuensi Gagal Serah Nasabah Kelembagaan: 30 kali - 59 kali</t>
  </si>
  <si>
    <r>
      <rPr>
        <sz val="10"/>
        <color theme="1"/>
        <rFont val="Bookman Old Style"/>
        <charset val="134"/>
      </rPr>
      <t xml:space="preserve">POS </t>
    </r>
    <r>
      <rPr>
        <b/>
        <sz val="10"/>
        <color theme="1"/>
        <rFont val="Bookman Old Style"/>
        <charset val="134"/>
      </rPr>
      <t>tidak</t>
    </r>
    <r>
      <rPr>
        <sz val="10"/>
        <color theme="1"/>
        <rFont val="Bookman Old Style"/>
        <charset val="134"/>
      </rPr>
      <t xml:space="preserve"> Direviu dan </t>
    </r>
    <r>
      <rPr>
        <b/>
        <sz val="10"/>
        <color theme="1"/>
        <rFont val="Bookman Old Style"/>
        <charset val="134"/>
      </rPr>
      <t>tidak</t>
    </r>
    <r>
      <rPr>
        <sz val="10"/>
        <color theme="1"/>
        <rFont val="Bookman Old Style"/>
        <charset val="134"/>
      </rPr>
      <t xml:space="preserve"> diperbarui</t>
    </r>
  </si>
  <si>
    <t>Frekuensi Mengendap Gagal Serah Nasabah Kelembagaan: 30 kali - 59 kali</t>
  </si>
  <si>
    <t>Rata-Rata Nilai transaksi beli nasabah kelembagaan sebesar dalam enam bulan terakhir: Rp109.565.802.707 - Rp171.956.597.428</t>
  </si>
  <si>
    <t>Ada kebijakan tetapi tidak tertulis</t>
  </si>
  <si>
    <t>Nilai Gagal Serah Nasabah Kelembagaan: Rp2.425.466.516 - Rp3.990.765.187</t>
  </si>
  <si>
    <t>Frekuensi Gagal Serah Nasabah Kelembagaan: 60 kali - 89 kali</t>
  </si>
  <si>
    <t>Frekuensi Mengendap Gagal Serah Nasabah Kelembagaan: 60 kali - 89 kali</t>
  </si>
  <si>
    <t>Rata-Rata Nilai transaksi beli nasabah kelembagaan sebesar dalam enam bulan terakhir: &lt; Rp171.956.597.428</t>
  </si>
  <si>
    <r>
      <rPr>
        <b/>
        <sz val="10"/>
        <color theme="1"/>
        <rFont val="Bookman Old Style"/>
        <charset val="134"/>
      </rPr>
      <t>Tidak</t>
    </r>
    <r>
      <rPr>
        <sz val="10"/>
        <color theme="1"/>
        <rFont val="Bookman Old Style"/>
        <charset val="134"/>
      </rPr>
      <t xml:space="preserve"> ada POS ataupun kebijakan</t>
    </r>
  </si>
  <si>
    <t>Nilai Gagal Serah Nasabah Kelembagaan &gt; Rp3.990.765.187</t>
  </si>
  <si>
    <t>Frekuensi Gagal Serah Nasabah Kelembagaan: &gt; 89 kali</t>
  </si>
  <si>
    <t>Frekeuensi Mengendap Gagal Serah Nasabah Kelembagaan: &gt;89 kali</t>
  </si>
  <si>
    <t>2. Gagal Serah Perusahaan Efek (PE)</t>
  </si>
  <si>
    <t>Nilai transaksi jual kepada Perusahaan Efek lain dalam enam bulan terakhir: &lt; Rp6.561.167.104</t>
  </si>
  <si>
    <t>Memiliki POS terkait mekanisme gagal serah Perusahaan Efek yang memadai</t>
  </si>
  <si>
    <t>Tidak pernah mengalami Gagal Serah PE lain</t>
  </si>
  <si>
    <t>Nilai transaksi jual kepada Perusahaan Efek lain dalam enam bulan terakhir: Rp6.561.167.104 -Rp12.448.194.326</t>
  </si>
  <si>
    <t>Nilai Gagal Serah Perusahaan Efek Lainnya: 0 &lt; x &lt; Rp4.041.529.699</t>
  </si>
  <si>
    <t>Frekuensi Gagal Serah Perusahaan Efek Lainnya: 1 kali - 3 kali</t>
  </si>
  <si>
    <t>Frekuensi Mengendap Gagal Serah Perusahaan Efek Lain: 1 kali - 3 kali</t>
  </si>
  <si>
    <t>Nilai transaksi jual kepada Perusahaan Efek lain dalam enam bulan terakhir: Rp12.448.194.326 - Rp17.494.217.660</t>
  </si>
  <si>
    <r>
      <rPr>
        <sz val="10"/>
        <color theme="1"/>
        <rFont val="Bookman Old Style"/>
        <charset val="134"/>
      </rPr>
      <t xml:space="preserve">Memiliki POS terkait mekanisme gagal serah Perusahaan Efek yang </t>
    </r>
    <r>
      <rPr>
        <b/>
        <sz val="10"/>
        <color theme="1"/>
        <rFont val="Bookman Old Style"/>
        <charset val="134"/>
      </rPr>
      <t>tidak</t>
    </r>
    <r>
      <rPr>
        <sz val="10"/>
        <color theme="1"/>
        <rFont val="Bookman Old Style"/>
        <charset val="134"/>
      </rPr>
      <t xml:space="preserve"> memadai atau kebijakan tertulis selain POS</t>
    </r>
  </si>
  <si>
    <t>Nilai Gagal Serah Perusahaan Efek Lainnya: Rp4.041.529.699 -Rp5.837.533.942</t>
  </si>
  <si>
    <t>Frekuensi Gagal Serah Perusahaan Efek Lainnya: 4 kali - 5 kali</t>
  </si>
  <si>
    <t>POS tidak Direviu dan tidak diperbarui</t>
  </si>
  <si>
    <t>Frekuensi Mengendap Gagal Serah Perusahaan Efek Lain: 4 kali - 5 kali</t>
  </si>
  <si>
    <t>Nilai transaksi jual kepada Perusahaan Efek lain dalam enam bulan terakhir: Rp17.494.217.660 - Rp23.381.244.882</t>
  </si>
  <si>
    <t>Nilai Gagal Serah Perusahaan Efek Lainnya: Rp5.837.533.942 - Rp8.531.540.306</t>
  </si>
  <si>
    <t>Frekuensi Gagal Serah Perusahaan Efek Lainnya: 6 kali - 8 kali</t>
  </si>
  <si>
    <t>Frekuensi Mengendap Gagal Serah Perusahaan Efek Lain: 6 kali - 8 kali</t>
  </si>
  <si>
    <t>Nilai transaksi jual kepada Perusahaan Efek lain dalam enam bulan terakhir: &gt;Rp23.381.244.882</t>
  </si>
  <si>
    <t>Nilai Gagal Serah Perusahaan Efek Lainnya: &gt; Rp8.531.540.306</t>
  </si>
  <si>
    <t>Frekuensi Gagal Serah Perusahaan Efek Lainnya: &gt; 8 kali</t>
  </si>
  <si>
    <t>Frekuensi Mengendap Gagal Serah Perusahaan Efek Lain: &gt;8 kali</t>
  </si>
  <si>
    <t xml:space="preserve">3. Potensi Tidak tertagihnya transaksi efek  yang tidak dijamin oleh LKP
</t>
  </si>
  <si>
    <t>.</t>
  </si>
  <si>
    <t>Nilai transaksi efek Perusahaan Efek dengan counterpart selain LKP yang dilakukan di luar bursa (OTC) dalam 6 bulan terakhir (Juli - Desember 2015): &lt;Rp179.228.264</t>
  </si>
  <si>
    <t>Memiliki POS terkait mekanisme transaksi Perusahaan Efek dengan counterpart selain LKP yang dilakukan di luar bursa yang memadai</t>
  </si>
  <si>
    <t>Nilai transaksi efek Perusahaan Efek dengan counterpart selain LKP yang dilakukan di luar bursa (OTC) dalam 6 bulan terakhir (Juli - Desember 2015): Rp179.228.264 - Rp21.169.160.282</t>
  </si>
  <si>
    <t>Nilai transaksi efek Perusahaan Efek dengan counterpart selain LKP yang dilakukan di luar bursa (OTC) dalam 6 bulan terakhir (Juli - Desember 2015): Rp21.169.160.282 - Rp35.162.448.293</t>
  </si>
  <si>
    <r>
      <rPr>
        <sz val="10"/>
        <color theme="1"/>
        <rFont val="Bookman Old Style"/>
        <charset val="134"/>
      </rPr>
      <t xml:space="preserve">Memiliki POS terkait mekanisme transaksi Perusahaan Efek dengan counterpart selain LKP yang dilakukan di luar bursa yang </t>
    </r>
    <r>
      <rPr>
        <b/>
        <sz val="10"/>
        <color theme="1"/>
        <rFont val="Bookman Old Style"/>
        <charset val="134"/>
      </rPr>
      <t>tidak</t>
    </r>
    <r>
      <rPr>
        <sz val="10"/>
        <color theme="1"/>
        <rFont val="Bookman Old Style"/>
        <charset val="134"/>
      </rPr>
      <t xml:space="preserve"> memadai atau kebijakan tertulis selain POS</t>
    </r>
  </si>
  <si>
    <t>Nilai transaksi efek Perusahaan Efek dengan counterpart selain LKP yang dilakukan di luar bursa (OTC) dalam 6 bulan terakhir (Juli - Desember 2015): Rp35.162.448.293 - Rp56.152.380.310</t>
  </si>
  <si>
    <t>Nilai transaksi efek Perusahaan Efek dengan counterpart selain LKP yang dilakukan di luar bursa (OTC) dalam 6 bulan terakhir (Juli - Desember 2015): &gt;  Rp56.152.380.310</t>
  </si>
  <si>
    <t xml:space="preserve">4. Pemberian pembiayaan marjin yang agresif (kontrol yg tdk optimal tapi memberikan marjin dalam jumlah besar)
</t>
  </si>
  <si>
    <t>Rasio Rata-Rata 6 Bulanan Pembiayaan Marjin/Jaminan: &lt;16%</t>
  </si>
  <si>
    <r>
      <rPr>
        <sz val="10"/>
        <color theme="1"/>
        <rFont val="Bookman Old Style"/>
        <charset val="134"/>
      </rPr>
      <t xml:space="preserve">Memiliki POS terkait pembiayaan marjin yang memadai mencakup proses pembukaan Rekening Efek Marjin yang telah memuat Hak dan Kewajiban masing-masing pihak, Kriteria Nasabah, Mekanisme </t>
    </r>
    <r>
      <rPr>
        <i/>
        <sz val="10"/>
        <color theme="1"/>
        <rFont val="Bookman Old Style"/>
        <charset val="134"/>
      </rPr>
      <t>margin call</t>
    </r>
    <r>
      <rPr>
        <sz val="10"/>
        <color theme="1"/>
        <rFont val="Bookman Old Style"/>
        <charset val="134"/>
      </rPr>
      <t xml:space="preserve">, Mekanisme pelaksanaan </t>
    </r>
    <r>
      <rPr>
        <i/>
        <sz val="10"/>
        <color theme="1"/>
        <rFont val="Bookman Old Style"/>
        <charset val="134"/>
      </rPr>
      <t>forced sell</t>
    </r>
    <r>
      <rPr>
        <sz val="10"/>
        <color theme="1"/>
        <rFont val="Bookman Old Style"/>
        <charset val="134"/>
      </rPr>
      <t xml:space="preserve">, Segregasi wewenang pemberian pembiayaan,Pengenaan </t>
    </r>
    <r>
      <rPr>
        <i/>
        <sz val="10"/>
        <color theme="1"/>
        <rFont val="Bookman Old Style"/>
        <charset val="134"/>
      </rPr>
      <t>haircut</t>
    </r>
    <r>
      <rPr>
        <sz val="10"/>
        <color theme="1"/>
        <rFont val="Bookman Old Style"/>
        <charset val="134"/>
      </rPr>
      <t xml:space="preserve">, Metode </t>
    </r>
    <r>
      <rPr>
        <i/>
        <sz val="10"/>
        <color theme="1"/>
        <rFont val="Bookman Old Style"/>
        <charset val="134"/>
      </rPr>
      <t>haircut</t>
    </r>
    <r>
      <rPr>
        <sz val="10"/>
        <color theme="1"/>
        <rFont val="Bookman Old Style"/>
        <charset val="134"/>
      </rPr>
      <t>, dan Wewenang masing-masing pihak.</t>
    </r>
  </si>
  <si>
    <t>Rasio Rata-Rata 6 Bulanan Pembiayaan Marjin/Ekuitas: &lt;3%</t>
  </si>
  <si>
    <t>POS direviu secara berkala dan diperbaharui</t>
  </si>
  <si>
    <t>Rasio Rata-Rata 6 Bulanan Pembiayaan Marjin/Jaminan: 16%-39%</t>
  </si>
  <si>
    <r>
      <rPr>
        <sz val="10"/>
        <color theme="1"/>
        <rFont val="Bookman Old Style"/>
        <charset val="134"/>
      </rPr>
      <t xml:space="preserve">Memiliki POS terkait pembiayaan marjin namun tidak mencakup segregasi wewenang pemberian pembiayaan dan metode perhitungan </t>
    </r>
    <r>
      <rPr>
        <i/>
        <sz val="10"/>
        <color theme="1"/>
        <rFont val="Bookman Old Style"/>
        <charset val="134"/>
      </rPr>
      <t>haircut</t>
    </r>
  </si>
  <si>
    <t>Rasio Rata-Rata 6 Bulanan Pembiayaan Marjin/Ekuitas: 3%-6%</t>
  </si>
  <si>
    <t>Rasio Rata-Rata 6 Bulanan Pembiayaan Marjin/Jaminan: 39%-54%</t>
  </si>
  <si>
    <r>
      <rPr>
        <sz val="10"/>
        <color theme="1"/>
        <rFont val="Bookman Old Style"/>
        <charset val="134"/>
      </rPr>
      <t xml:space="preserve">Memiliki POS terkait pembiayaan marjin namun tidak mencakup mekanisme pembukaan rekening marjin, kriteria nasabah dan mekanisme </t>
    </r>
    <r>
      <rPr>
        <i/>
        <sz val="10"/>
        <color theme="1"/>
        <rFont val="Bookman Old Style"/>
        <charset val="134"/>
      </rPr>
      <t>forced sell</t>
    </r>
    <r>
      <rPr>
        <sz val="10"/>
        <color theme="1"/>
        <rFont val="Bookman Old Style"/>
        <charset val="134"/>
      </rPr>
      <t xml:space="preserve"> dan metode perhitungan </t>
    </r>
    <r>
      <rPr>
        <i/>
        <sz val="10"/>
        <color theme="1"/>
        <rFont val="Bookman Old Style"/>
        <charset val="134"/>
      </rPr>
      <t>haircut</t>
    </r>
  </si>
  <si>
    <t>Rasio Rata-Rata 6 Bulanan Pembiayaan Marjin/Ekuitas: 6%-8%</t>
  </si>
  <si>
    <t>Rasio Rata-Rata 6 Bulanan Pembiayaan Marjin/Jaminan: 54%-77%</t>
  </si>
  <si>
    <t>Memiliki POS terkait pembiayaan marjin yang memadai mencakup proses pembukaan Rekening Efek Marjin yang telah memuat hak dan kewajiban masing-masing pihak, Kriteria Nasabah, Mekanisme marjin call, mekanisme pelaksanaan forced sell, Segregasi wewenang pemberian pembiayaan,Pengenaan haircut, Metode haircut, Wewenang masing-masing pihak.</t>
  </si>
  <si>
    <t>Rasio Rata-Rata 6 Bulanan Pembiayaan Marjin/Ekuitas: 8%-11%</t>
  </si>
  <si>
    <r>
      <rPr>
        <sz val="10"/>
        <color theme="1"/>
        <rFont val="Bookman Old Style"/>
        <charset val="134"/>
      </rPr>
      <t xml:space="preserve">POS </t>
    </r>
    <r>
      <rPr>
        <b/>
        <sz val="10"/>
        <color theme="1"/>
        <rFont val="Bookman Old Style"/>
        <charset val="134"/>
      </rPr>
      <t>tidak</t>
    </r>
    <r>
      <rPr>
        <sz val="10"/>
        <color theme="1"/>
        <rFont val="Bookman Old Style"/>
        <charset val="134"/>
      </rPr>
      <t xml:space="preserve"> diimplementasikan, diawasi dan diperiksa</t>
    </r>
  </si>
  <si>
    <t>POS tidak direviu Berkala dan tidak diperbarui</t>
  </si>
  <si>
    <t>Rasio Rata-Rata 6 Bulanan Pembiayaan Marjin/Jaminan: &gt;77%</t>
  </si>
  <si>
    <t>Rasio Rata-Rata 6 Bulanan Pembiayaan Marjin/Ekuitas: &gt;11%</t>
  </si>
  <si>
    <t xml:space="preserve">5. Kualitas Transaksi Reverse Repo Tidak Memadai
</t>
  </si>
  <si>
    <t>Rasio Rata-Rata 6 Bulanan Jaminan/ Rata-Rata 6 Bulanan Transaksi Reverse Repo: &gt; 8 kali</t>
  </si>
  <si>
    <r>
      <rPr>
        <sz val="10"/>
        <color theme="1"/>
        <rFont val="Bookman Old Style"/>
        <charset val="134"/>
      </rPr>
      <t xml:space="preserve">Memiliki POS terkait transaksi reverse repo yang memadai mencakup Kriteria Saham, Kriteria Lawan transaksi, Kriteria menentukan piutang </t>
    </r>
    <r>
      <rPr>
        <i/>
        <sz val="10"/>
        <color theme="1"/>
        <rFont val="Bookman Old Style"/>
        <charset val="134"/>
      </rPr>
      <t>reverse repo</t>
    </r>
    <r>
      <rPr>
        <sz val="10"/>
        <color theme="1"/>
        <rFont val="Bookman Old Style"/>
        <charset val="134"/>
      </rPr>
      <t xml:space="preserve"> tidak lancar, mekanisme penyelesaian piutang </t>
    </r>
    <r>
      <rPr>
        <i/>
        <sz val="10"/>
        <color theme="1"/>
        <rFont val="Bookman Old Style"/>
        <charset val="134"/>
      </rPr>
      <t>reverse repo</t>
    </r>
    <r>
      <rPr>
        <sz val="10"/>
        <color theme="1"/>
        <rFont val="Bookman Old Style"/>
        <charset val="134"/>
      </rPr>
      <t xml:space="preserve"> yang tidak lancar, perhitungan </t>
    </r>
    <r>
      <rPr>
        <i/>
        <sz val="10"/>
        <color theme="1"/>
        <rFont val="Bookman Old Style"/>
        <charset val="134"/>
      </rPr>
      <t>ranking liabilities</t>
    </r>
    <r>
      <rPr>
        <sz val="10"/>
        <color theme="1"/>
        <rFont val="Bookman Old Style"/>
        <charset val="134"/>
      </rPr>
      <t xml:space="preserve">, Metode perhitungan </t>
    </r>
    <r>
      <rPr>
        <i/>
        <sz val="10"/>
        <color theme="1"/>
        <rFont val="Bookman Old Style"/>
        <charset val="134"/>
      </rPr>
      <t>haircut</t>
    </r>
    <r>
      <rPr>
        <sz val="10"/>
        <color theme="1"/>
        <rFont val="Bookman Old Style"/>
        <charset val="134"/>
      </rPr>
      <t>, kriteria dan mekanisme penambahan dan pengurangan jaminan, standar baku perjanjian.</t>
    </r>
  </si>
  <si>
    <t>Rasio Rata-Rata 6 Bulanan Transaksi Reverse Repo/Ekuitas: &lt; 4%</t>
  </si>
  <si>
    <t>Rasio Rata-Rata 6 Bulanan Jaminan/ Rata-Rata 6 Bulanan Transaksi Reverse Repo: 8 kali - 5 kali</t>
  </si>
  <si>
    <t>Memiliki POS terkait pembiayaan marjin namun  tidak mencakup kriteria dan mekanisme penambahan/pengurangan jaminan, metode haircut dan perhitungan ranking liabilities</t>
  </si>
  <si>
    <t>Rasio Rata-Rata 6 Bulanan Transaksi Reverse Repo/Ekuitas: 4% - 17%</t>
  </si>
  <si>
    <t>Rasio Rata-Rata 6 Bulanan Jaminan/ Rata-Rata 6 Bulanan Transaksi Reverse Repo: 5 kali - 4 kali</t>
  </si>
  <si>
    <t>Memiliki POS terkait pembiayaan marjin namun tidak mencakup kriteria dan mekanisme penyelesaian reverse repo tidak lancar, Standard Baku perjanjian dan kriteria saham dan lawan transaksi</t>
  </si>
  <si>
    <t>Rasio Rata-Rata 6 Bulanan Transaksi Reverse Repo/Ekuitas: 17% - 28%</t>
  </si>
  <si>
    <t>Diimplementasikan, diawasi dan diperiksa</t>
  </si>
  <si>
    <t>POS tidak direviu Berkala namun diperbarui</t>
  </si>
  <si>
    <t>Rasio Rata-Rata 6 Bulanan Jaminan/ Rata-Rata 6 Bulanan Transaksi Reverse Repo: 4 kali - 1 kali</t>
  </si>
  <si>
    <t>Memiliki POS terkait transaksi reverse repo yang memadai mencakup Kriteria Saham, Kriteria Lawan transaksi, Kriteria menentukan piutang reverse repo tidak lancar, mekanisme penyelesaian piutang reverse repo yang tidak lancar, perhitungan ranking liabilities, Metode perhitungan haircut, kriteria dan mekanisme penambahan dan pengurangan jaminan, standard baku perjanjian.</t>
  </si>
  <si>
    <t>Rasio Rata-Rata 6 Bulanan Transaksi Reverse Repo/Ekuitas: 28% - 41%</t>
  </si>
  <si>
    <r>
      <rPr>
        <b/>
        <sz val="10"/>
        <color theme="1"/>
        <rFont val="Bookman Old Style"/>
        <charset val="134"/>
      </rPr>
      <t>Tidak</t>
    </r>
    <r>
      <rPr>
        <sz val="10"/>
        <color theme="1"/>
        <rFont val="Bookman Old Style"/>
        <charset val="134"/>
      </rPr>
      <t xml:space="preserve"> diimplementasikan, diawasi dan diperiksa</t>
    </r>
  </si>
  <si>
    <r>
      <rPr>
        <b/>
        <sz val="10"/>
        <color theme="1"/>
        <rFont val="Bookman Old Style"/>
        <charset val="134"/>
      </rPr>
      <t>Tidak</t>
    </r>
    <r>
      <rPr>
        <sz val="10"/>
        <color theme="1"/>
        <rFont val="Bookman Old Style"/>
        <charset val="134"/>
      </rPr>
      <t xml:space="preserve"> direviu berkala dan tidak diperbarui</t>
    </r>
  </si>
  <si>
    <t>Rasio Rata-Rata 6 Bulanan Jaminan/ Rata-Rata 6 Bulanan Transaksi Reverse Repo: &lt; 1 kali</t>
  </si>
  <si>
    <t>Rasio Rata-Rata 6 Bulanan Transaksi Reverse Repo/Ekuitas: &gt; 41%</t>
  </si>
  <si>
    <t xml:space="preserve">6. Pemberian Pembiayaan non-marjin yang tidak sesuai dengan ketentuan
</t>
  </si>
  <si>
    <t>Tidak ada Transaksi Tplus</t>
  </si>
  <si>
    <r>
      <rPr>
        <sz val="10"/>
        <color theme="1"/>
        <rFont val="Bookman Old Style"/>
        <charset val="134"/>
      </rPr>
      <t xml:space="preserve">Memiliki POS terkait pemberian pembiayaan non marjin yang memadai mencakup mekanisme </t>
    </r>
    <r>
      <rPr>
        <i/>
        <sz val="10"/>
        <color theme="1"/>
        <rFont val="Bookman Old Style"/>
        <charset val="134"/>
      </rPr>
      <t>forced sell</t>
    </r>
    <r>
      <rPr>
        <sz val="10"/>
        <color theme="1"/>
        <rFont val="Bookman Old Style"/>
        <charset val="134"/>
      </rPr>
      <t xml:space="preserve">, kriteria nasabah, </t>
    </r>
    <r>
      <rPr>
        <i/>
        <sz val="10"/>
        <color theme="1"/>
        <rFont val="Bookman Old Style"/>
        <charset val="134"/>
      </rPr>
      <t>haircut</t>
    </r>
    <r>
      <rPr>
        <sz val="10"/>
        <color theme="1"/>
        <rFont val="Bookman Old Style"/>
        <charset val="134"/>
      </rPr>
      <t xml:space="preserve"> saham jaminan, metode </t>
    </r>
    <r>
      <rPr>
        <i/>
        <sz val="10"/>
        <color theme="1"/>
        <rFont val="Bookman Old Style"/>
        <charset val="134"/>
      </rPr>
      <t>haircut</t>
    </r>
    <r>
      <rPr>
        <sz val="10"/>
        <color theme="1"/>
        <rFont val="Bookman Old Style"/>
        <charset val="134"/>
      </rPr>
      <t xml:space="preserve"> dan segregasi wewenang</t>
    </r>
  </si>
  <si>
    <t>Rasio Transaksi Beli/ (Transaksi Tplus per 2)&gt; 588%</t>
  </si>
  <si>
    <t>Rata-Rata 6 Bulanan Total Transaksi Tplus: 0 &lt; x &lt; Rp12.272.998.651</t>
  </si>
  <si>
    <r>
      <rPr>
        <sz val="10"/>
        <color theme="1"/>
        <rFont val="Bookman Old Style"/>
        <charset val="134"/>
      </rPr>
      <t xml:space="preserve">Memiliki POS terkait pembiayaan marjin namun  tidak mencakup segregasi wewenang dan metode </t>
    </r>
    <r>
      <rPr>
        <i/>
        <sz val="10"/>
        <color theme="1"/>
        <rFont val="Bookman Old Style"/>
        <charset val="134"/>
      </rPr>
      <t>haircut</t>
    </r>
  </si>
  <si>
    <t>Rasio Rata-Rata 6 Bulanan Transaksi TPlus/Ekuitas: 0% &lt; x &lt; 3%</t>
  </si>
  <si>
    <t>Rasio Rata-Rata 6 Bulanan Transaksi Beli per (Transaksi Tplus per 2) &gt; 588% -402%</t>
  </si>
  <si>
    <t>Rata-Rata 6 Bulanan Total Transaksi Tplus: Rp12.272.998.650 - Rp19.239.208.170</t>
  </si>
  <si>
    <r>
      <rPr>
        <sz val="10"/>
        <color theme="1"/>
        <rFont val="Bookman Old Style"/>
        <charset val="134"/>
      </rPr>
      <t xml:space="preserve">Memiliki POS terkait pembiayaan marjin namun tidak mencakup kriteria nasabah dan mekanisme </t>
    </r>
    <r>
      <rPr>
        <i/>
        <sz val="10"/>
        <color theme="1"/>
        <rFont val="Bookman Old Style"/>
        <charset val="134"/>
      </rPr>
      <t xml:space="preserve">forced sell </t>
    </r>
  </si>
  <si>
    <t>Rasio Rata-Rata 6 Bulanan Transaksi TPlus/Ekuitas: 3% - 9%</t>
  </si>
  <si>
    <t>Rasio Rata-Rata 6 Bulanan Transaksi Beli per (Transaksi Tplus per 2): 402% - 277%</t>
  </si>
  <si>
    <t>Rata-Rata 6 Bulanan Total Transaksi Tplus: Rp19.239.208.170 - Rp29.688.522.449</t>
  </si>
  <si>
    <t>Rasio Rata-Rata 6 Bulanan Transaksi TPlus/Ekuitas: 9% - 16%</t>
  </si>
  <si>
    <t>Rasio Rata-Rata 6 Bulanan Transaksi Beli per (Transaksi Tplus per 2): 227% - 41%</t>
  </si>
  <si>
    <t>POS tidak direviu Berkala dan Tidak diperbarui</t>
  </si>
  <si>
    <t>Rata-Rata 6 Bulanan Total Transaksi Tplus: &gt; Rp29.688.522.449</t>
  </si>
  <si>
    <t>Rasio Rata-Rata 6 Bulanan Transaksi TPlus/Ekuitas: &gt;16%</t>
  </si>
  <si>
    <t>Rasio Rata-Rata 6 Bulanan Transaksi Beli per (Transaksi Tplus per 2): 41%</t>
  </si>
  <si>
    <t>RISIKO LIKUIDITAS</t>
  </si>
  <si>
    <r>
      <rPr>
        <b/>
        <sz val="10"/>
        <color theme="1"/>
        <rFont val="Bookman Old Style"/>
        <charset val="134"/>
      </rPr>
      <t>1.</t>
    </r>
    <r>
      <rPr>
        <b/>
        <sz val="7"/>
        <color theme="1"/>
        <rFont val="Bookman Old Style"/>
        <charset val="134"/>
      </rPr>
      <t>  </t>
    </r>
    <r>
      <rPr>
        <b/>
        <sz val="10"/>
        <color theme="1"/>
        <rFont val="Bookman Old Style"/>
        <charset val="134"/>
      </rPr>
      <t>Aset lancar tidak dapat melunasi hutang</t>
    </r>
  </si>
  <si>
    <t>MKBD per MKBD Min: &gt; 502%</t>
  </si>
  <si>
    <t>Memiliki kebijakan Aset dan Liabilitas secara tertulis yang diimplementasikan secara konsisten</t>
  </si>
  <si>
    <t>Current ratio: &gt; 304%</t>
  </si>
  <si>
    <t>Cash Ratio: &gt; 100%</t>
  </si>
  <si>
    <t>MKBD per MKBD Min: 502% - 363%</t>
  </si>
  <si>
    <t>Current ratio: 304% - 230%</t>
  </si>
  <si>
    <t>Cash Ratio: 100% - 67%</t>
  </si>
  <si>
    <t>MKBD per MKBD Min: 363% - 271%</t>
  </si>
  <si>
    <t>Memiliki kebijakan Aset dan Liabilitas secara tidak tertulis yang dilakukan secara konsisten</t>
  </si>
  <si>
    <t>Current ratio: 230% - 175%</t>
  </si>
  <si>
    <t>Cash Ratio: 67% - 49%</t>
  </si>
  <si>
    <t>MKBD per MKBD Min: 271% - 132%</t>
  </si>
  <si>
    <t>Current ratio: 175% - 101%</t>
  </si>
  <si>
    <t>Cash Ratio: 49% - 15%</t>
  </si>
  <si>
    <t>MKBD per MKBD Min: &lt; 132%</t>
  </si>
  <si>
    <t>Tidak memiliki kebijakan Aset dan Liabilitas</t>
  </si>
  <si>
    <t>Current ratio: &lt; 101%</t>
  </si>
  <si>
    <t>Cash Ratio: &lt;15%</t>
  </si>
  <si>
    <r>
      <rPr>
        <b/>
        <sz val="10"/>
        <color theme="1"/>
        <rFont val="Bookman Old Style"/>
        <charset val="134"/>
      </rPr>
      <t>2.</t>
    </r>
    <r>
      <rPr>
        <b/>
        <sz val="7"/>
        <color theme="1"/>
        <rFont val="Bookman Old Style"/>
        <charset val="134"/>
      </rPr>
      <t> </t>
    </r>
    <r>
      <rPr>
        <b/>
        <sz val="10"/>
        <color theme="1"/>
        <rFont val="Bookman Old Style"/>
        <charset val="134"/>
      </rPr>
      <t>Tidak dapat melunasi tagihan KPEI atas transaksi nasabah reguler</t>
    </r>
  </si>
  <si>
    <t>Rasio ((Rata-rata Kas &amp; Setara Kas + Agunan di KPEI)/Rata-rata Hutang KPEI) &gt; 620%</t>
  </si>
  <si>
    <t xml:space="preserve">Memiliki Kebijakan dan/atau POS pembiayaan non-Marjin (T-Plus) yang sangat memadai </t>
  </si>
  <si>
    <t>Kebijakan dan/atau POS diimplementasikan, diawasi, dan diperiksa</t>
  </si>
  <si>
    <t xml:space="preserve">Kebijakan dan/atau POS direviu Berkala dan diperbarui; </t>
  </si>
  <si>
    <t>Sangat Mudah meminta tambahan Dana kepada Pemegang Saham.</t>
  </si>
  <si>
    <t>Rasio ((Rata-rata Kas &amp; Setara Kas + Agunan di KPEI)/Rata-rata Hutang KPEI): 620 - 358%</t>
  </si>
  <si>
    <t xml:space="preserve">Kebijakan dan/atau POS direviu secara insidentil dan diperbarui; </t>
  </si>
  <si>
    <t>Mudah meminta tambahan Dana kepada Pemegang Saham.</t>
  </si>
  <si>
    <t>Rasio ((Rata-rata Kas &amp; Setara Kas + Agunan di KPEI)/Rata-rata Hutang KPEI): 358% - 222%</t>
  </si>
  <si>
    <t>Hanya Memiliki Kebijakan selain POS pembiayaan non-Marjin (T-Plus)</t>
  </si>
  <si>
    <t>Kebijakan selain POS diimplementasikan, diawasi, dan diperiksa</t>
  </si>
  <si>
    <t xml:space="preserve">Kebijakan selain POS tidak direviu Berkala dan diperbarui; </t>
  </si>
  <si>
    <t>Cukup mudah meminta tambahan Dana kepada Pemegang Saham.</t>
  </si>
  <si>
    <t>Rasio ((Rata-rata Kas &amp; Setara Kas + Agunan di KPEI)/Rata-rata Hutang KPEI): 222% - 121%</t>
  </si>
  <si>
    <t xml:space="preserve">Kebijakan tidak tertulis terkait pembiayaan non-Marjin (T-Plus) </t>
  </si>
  <si>
    <t>Sulit meminta tambahan Dana kepada Pemegang Saham.</t>
  </si>
  <si>
    <t>Rasio ((Rata-rata Kas &amp; Setara Kas + Agunan di KPEI)/Rata-rata Hutang KPEI): &lt;  121%</t>
  </si>
  <si>
    <t xml:space="preserve">Tidak memiliki POS ataupun Kebijakan terkait pembiayaan non-Marjin (T-Plus) </t>
  </si>
  <si>
    <t>Sangat sulit meminta tambahan Dana kepada Pemegang Saham.</t>
  </si>
  <si>
    <r>
      <rPr>
        <b/>
        <sz val="10"/>
        <color theme="1"/>
        <rFont val="Bookman Old Style"/>
        <charset val="134"/>
      </rPr>
      <t>3.</t>
    </r>
    <r>
      <rPr>
        <b/>
        <sz val="7"/>
        <color theme="1"/>
        <rFont val="Bookman Old Style"/>
        <charset val="134"/>
      </rPr>
      <t> </t>
    </r>
    <r>
      <rPr>
        <b/>
        <sz val="10"/>
        <color theme="1"/>
        <rFont val="Bookman Old Style"/>
        <charset val="134"/>
      </rPr>
      <t>Transaksi Hutang Repo</t>
    </r>
  </si>
  <si>
    <t>Tidak melakukan Transaksi Repo</t>
  </si>
  <si>
    <t>POS memiliki hal-hal sebagai berikut: Mekanisme penentuan transaksi repo dan Segregasi wewenang</t>
  </si>
  <si>
    <t>Rasio Rata-rata Kas dan Setara Kas/ Hutang Repo &gt;</t>
  </si>
  <si>
    <t>Kebijakan Transaksi Hutang Repo telah sesuai dengan POJK no.9/POJK.D04/2015</t>
  </si>
  <si>
    <t>Tidak pernah terjadi pelanggaran terhadap POS</t>
  </si>
  <si>
    <t>Rasio Rata-rata Kas dan Setara Kas/ Hutang Repo:</t>
  </si>
  <si>
    <t>POS memiliki hal-hal sebagai berikut: Mekanisme penentuan transaksi repo atau Segregasi wewenang</t>
  </si>
  <si>
    <t>POS direviu secara insidentil dan tidak diperbarui</t>
  </si>
  <si>
    <t>POS tidak direviu berkala dan tidak diperbarui</t>
  </si>
  <si>
    <t>Tidak pernah terjadi pelanggaran yang signifikan terhadap POS</t>
  </si>
  <si>
    <r>
      <rPr>
        <sz val="7"/>
        <color theme="1"/>
        <rFont val="Bookman Old Style"/>
        <charset val="134"/>
      </rPr>
      <t xml:space="preserve"> </t>
    </r>
    <r>
      <rPr>
        <sz val="10"/>
        <color theme="1"/>
        <rFont val="Bookman Old Style"/>
        <charset val="134"/>
      </rPr>
      <t>Ada Kebijakan namun tidak tertulis</t>
    </r>
  </si>
  <si>
    <t>Tidak memiliki POS ataupun Kebijakan terkait transaksi hutang Repo</t>
  </si>
  <si>
    <r>
      <rPr>
        <b/>
        <sz val="10"/>
        <color theme="1"/>
        <rFont val="Bookman Old Style"/>
        <charset val="134"/>
      </rPr>
      <t>4.</t>
    </r>
    <r>
      <rPr>
        <b/>
        <sz val="7"/>
        <color theme="1"/>
        <rFont val="Bookman Old Style"/>
        <charset val="134"/>
      </rPr>
      <t>  </t>
    </r>
    <r>
      <rPr>
        <b/>
        <sz val="10"/>
        <color theme="1"/>
        <rFont val="Bookman Old Style"/>
        <charset val="134"/>
      </rPr>
      <t>Perusahaan tidak dapat melunasi Pinjaman dana nasabah</t>
    </r>
  </si>
  <si>
    <t>Rasio Kas dan Setara Kas/ Pinjam Meminjam Dana &gt; 180%</t>
  </si>
  <si>
    <t xml:space="preserve">Memiliki POS </t>
  </si>
  <si>
    <t>Rasio Aktiva Lancar/ Pinjam Meminjam Dana &gt; 630%</t>
  </si>
  <si>
    <t xml:space="preserve">Seluruh fungsi telah sesuai Peraturan </t>
  </si>
  <si>
    <t>Tidak pernah terjadi pelanggaran terkait POS</t>
  </si>
  <si>
    <t>Perjanjian sesuai dengan SE Bapepam dan LK Nomor 16</t>
  </si>
  <si>
    <t>Rasio Kas dan Setara Kas/ Pinjam Meminjam Dana: 180% - 133%</t>
  </si>
  <si>
    <t>Rasio Aktiva Lancar/ Pinjam Meminjam Dana: 630% - 467%</t>
  </si>
  <si>
    <t>Rasio Kas dan Setara Kas/ Pinjam Meminjam Dana: 133% - 102%</t>
  </si>
  <si>
    <t>Rasio Aktiva Lancar/ Pinjam Meminjam Dana: 467% - 358%</t>
  </si>
  <si>
    <t>Tidak pernah terjadi pelanggaran yang signifikan terkait POS</t>
  </si>
  <si>
    <t>Rasio Kas dan Setara Kas/ Pinjam Meminjam Dana: 102% - 55%</t>
  </si>
  <si>
    <t>Rasio Aktiva Lancar/ Pinjam Meminjam Dana: 358% - 195%</t>
  </si>
  <si>
    <t>Rasio Kas dan Setara Kas/ Pinjam Meminjam Dana: &lt; 55%</t>
  </si>
  <si>
    <t>Tidak memiliki POS ataupun Kebijakan terkait</t>
  </si>
  <si>
    <t>Rasio Aktiva Lancar/ Pinjam Meminjam Dana: &lt; 195%</t>
  </si>
  <si>
    <t>Kesimpulan:  tidak ada pinjam dana nasabah. Resiko PE dalam kategori rendah</t>
  </si>
  <si>
    <r>
      <rPr>
        <b/>
        <sz val="10"/>
        <color theme="1"/>
        <rFont val="Bookman Old Style"/>
        <charset val="134"/>
      </rPr>
      <t>5.</t>
    </r>
    <r>
      <rPr>
        <b/>
        <sz val="7"/>
        <color theme="1"/>
        <rFont val="Bookman Old Style"/>
        <charset val="134"/>
      </rPr>
      <t>  </t>
    </r>
    <r>
      <rPr>
        <b/>
        <sz val="10"/>
        <color theme="1"/>
        <rFont val="Bookman Old Style"/>
        <charset val="134"/>
      </rPr>
      <t>Perusahaan tidak memiliki kemampuan likuiditas ketika melakukan kegiatan penjaminan (cash basis)</t>
    </r>
  </si>
  <si>
    <t>Rasio Selisih nilai MKBD x 4/ Porsi penjaminan &gt; 198%</t>
  </si>
  <si>
    <t>Terdapat kebijakan mempertimbangkan MKBD dalam melakukan penjaminan</t>
  </si>
  <si>
    <t>Perusahaan memiliki izin penjaminan dan ada/tidak ada penjaminan selama 2015</t>
  </si>
  <si>
    <t>Terdapat kebijakan terkait dana cadangan ketika sedang melakukan penjaminan</t>
  </si>
  <si>
    <t>Tidak ada penjaminan luar negeri</t>
  </si>
  <si>
    <t>Rasio Selisih nilai MKBD x 4/ Porsi penjaminan: 198% - 166%</t>
  </si>
  <si>
    <t>Rasio Selisih nilai MKBD x 4/ Porsi penjaminan: 166% - 138%</t>
  </si>
  <si>
    <t>Rasio Selisih nilai MKBD x 4/ Porsi penjaminan: 138% - 105%</t>
  </si>
  <si>
    <t>Rasio Selisih nilai MKBD x 4/ Porsi penjaminan: &lt; 105%</t>
  </si>
  <si>
    <t>Perusahaan tidak memiliki kebijakan mempertimbangkan MKBD dalam melakukan penjaminan</t>
  </si>
  <si>
    <t>Memiliki Penjaminan Efek listing di luar negeri</t>
  </si>
  <si>
    <t>Perusahaan tidak memiliki kebijakan terkait dana cadangan ketika sedang melakukan penjaminan</t>
  </si>
  <si>
    <t>Perusahaan tidak memiliki kebijakan manajemen risiko terkait kemampuan Perusahaan dalam menjamin efek listing di luar negeri</t>
  </si>
  <si>
    <r>
      <rPr>
        <b/>
        <sz val="10"/>
        <color theme="1"/>
        <rFont val="Bookman Old Style"/>
        <charset val="134"/>
      </rPr>
      <t>6.</t>
    </r>
    <r>
      <rPr>
        <b/>
        <sz val="7"/>
        <color theme="1"/>
        <rFont val="Bookman Old Style"/>
        <charset val="134"/>
      </rPr>
      <t>  </t>
    </r>
    <r>
      <rPr>
        <b/>
        <sz val="10"/>
        <color theme="1"/>
        <rFont val="Bookman Old Style"/>
        <charset val="134"/>
      </rPr>
      <t xml:space="preserve">Perusahaan tidak dapat melakukan </t>
    </r>
    <r>
      <rPr>
        <b/>
        <i/>
        <sz val="10"/>
        <color theme="1"/>
        <rFont val="Bookman Old Style"/>
        <charset val="134"/>
      </rPr>
      <t>settlement</t>
    </r>
    <r>
      <rPr>
        <b/>
        <sz val="10"/>
        <color theme="1"/>
        <rFont val="Bookman Old Style"/>
        <charset val="134"/>
      </rPr>
      <t xml:space="preserve"> transaksi nasabah kelembagaan atas gagal terima</t>
    </r>
  </si>
  <si>
    <t>Tidak pernah terjadi Gagal Terima Nasabah Kelembagaan</t>
  </si>
  <si>
    <t>Terdapat perbedaan kebijakan antara settlement untuk transaksi reguler dan transaksi nego</t>
  </si>
  <si>
    <t>Tidak pernah ada masalah terkait settlement</t>
  </si>
  <si>
    <t>Memiliki kebijakan untuk menghindari potensi gagal serah</t>
  </si>
  <si>
    <t>Dapat dilakukan settlement pada hari yang sama</t>
  </si>
  <si>
    <t>Memiliki kebijakan settlement untuk nasabah luar negeri</t>
  </si>
  <si>
    <t>Rasio Rata-rata Kas dan Setara Kas/ Rata-rata gagal terima Nasabah Kelembagaan &gt; 61 kali</t>
  </si>
  <si>
    <t>Rata-rata Nilai Gagal Terima Nasabah Kelembagaan: 0 &lt; x &lt; 93.210.803</t>
  </si>
  <si>
    <t>Frekuensi Gagal Terima Nasabah Kelembagaan: 1 kali - 29 kali</t>
  </si>
  <si>
    <t>Frekuensi Mengendap Gagal Terima Nasabah Kelembagaan: 1 kali - 29 kali</t>
  </si>
  <si>
    <r>
      <rPr>
        <sz val="10"/>
        <color theme="1"/>
        <rFont val="Bookman Old Style"/>
        <charset val="134"/>
      </rPr>
      <t xml:space="preserve">Tidak pernah ada masalah terkait </t>
    </r>
    <r>
      <rPr>
        <i/>
        <sz val="10"/>
        <color theme="1"/>
        <rFont val="Bookman Old Style"/>
        <charset val="134"/>
      </rPr>
      <t>settlement</t>
    </r>
  </si>
  <si>
    <r>
      <rPr>
        <sz val="10"/>
        <color theme="1"/>
        <rFont val="Bookman Old Style"/>
        <charset val="134"/>
      </rPr>
      <t xml:space="preserve">Dapat dilakukan </t>
    </r>
    <r>
      <rPr>
        <i/>
        <sz val="10"/>
        <color theme="1"/>
        <rFont val="Bookman Old Style"/>
        <charset val="134"/>
      </rPr>
      <t>settlement</t>
    </r>
    <r>
      <rPr>
        <sz val="10"/>
        <color theme="1"/>
        <rFont val="Bookman Old Style"/>
        <charset val="134"/>
      </rPr>
      <t xml:space="preserve"> pada hari yang sama</t>
    </r>
  </si>
  <si>
    <t>Rasio Rata-rata Kas dan Setara Kas/ Rata-rata gagal terima Nasabah Kelembagaan: 61 kali - 40 kali</t>
  </si>
  <si>
    <t>Rata-rata Nilai Gagal Terima Nasabah Kelembagaan: 93.210.803 - 1.745.338.525</t>
  </si>
  <si>
    <t>Frekuensi Gagal Terima Nasabah Kelembagaan: 30 kali - 59 kali</t>
  </si>
  <si>
    <t>d</t>
  </si>
  <si>
    <t>Frekuensi Mengendap Gagal Terima Nasabah Kelembagaan: 30 kali - 59 kali</t>
  </si>
  <si>
    <t>Rasio Rata-rata Kas dan Setara Kas/ Rata-rata gagal terima Nasabah Kelembagaan: 40 kali - 22 kali</t>
  </si>
  <si>
    <t>Rata-rata Nilai Gagal Terima Nasabah Kelembagaan: 1.745.338.525 - 3.161.448.000</t>
  </si>
  <si>
    <t>Frekuensi Gagal Terima Nasabah Kelembagaan: 60 kali - 89 kali</t>
  </si>
  <si>
    <t>Frekuensi Mengendap Gagal Terima Nasabah Kelembagaan: 60 kali - 89 kali</t>
  </si>
  <si>
    <t>Memiliki Nasabah Kelembagaan yang berlokasi di luar negeri</t>
  </si>
  <si>
    <t>Rasio Rata-rata Kas dan Setara Kas/ Rata-rata gagal terima Nasabah Kelembagaan: &lt; 22 kali</t>
  </si>
  <si>
    <t>Tidak terdapat perbedaan kebijakan antara settlement untuk transaksi reguler dan transaksi nego</t>
  </si>
  <si>
    <t>Rata-rata Nilai Gagal Terima Nasabah Kelembagaan: &gt; 3.161.448.000</t>
  </si>
  <si>
    <t>Frekuensi Gagal Terima Nasabah Kelembagaan &gt; 89 kali</t>
  </si>
  <si>
    <t>Tidak Memiliki kebijakan untuk menghindari potensi gagal serah</t>
  </si>
  <si>
    <t>Frekuensi Mengendap Gagal Terima Nasabah Kelembagaan: &gt; 89 kali</t>
  </si>
  <si>
    <r>
      <rPr>
        <sz val="10"/>
        <color theme="1"/>
        <rFont val="Bookman Old Style"/>
        <charset val="134"/>
      </rPr>
      <t xml:space="preserve">Pernah ada masalah terkait </t>
    </r>
    <r>
      <rPr>
        <i/>
        <sz val="10"/>
        <color theme="1"/>
        <rFont val="Bookman Old Style"/>
        <charset val="134"/>
      </rPr>
      <t>settlement</t>
    </r>
  </si>
  <si>
    <t>Tidak Memiliki kebijakan settlement untuk nasabah luar negeri</t>
  </si>
  <si>
    <r>
      <rPr>
        <sz val="10"/>
        <color theme="1"/>
        <rFont val="Bookman Old Style"/>
        <charset val="134"/>
      </rPr>
      <t xml:space="preserve">Tidak Dapat dilakukan </t>
    </r>
    <r>
      <rPr>
        <i/>
        <sz val="10"/>
        <color theme="1"/>
        <rFont val="Bookman Old Style"/>
        <charset val="134"/>
      </rPr>
      <t>settlement</t>
    </r>
    <r>
      <rPr>
        <sz val="10"/>
        <color theme="1"/>
        <rFont val="Bookman Old Style"/>
        <charset val="134"/>
      </rPr>
      <t xml:space="preserve"> pada hari yang sama</t>
    </r>
  </si>
  <si>
    <r>
      <rPr>
        <b/>
        <sz val="10"/>
        <color theme="1"/>
        <rFont val="Bookman Old Style"/>
        <charset val="134"/>
      </rPr>
      <t>7.</t>
    </r>
    <r>
      <rPr>
        <b/>
        <sz val="7"/>
        <color theme="1"/>
        <rFont val="Bookman Old Style"/>
        <charset val="134"/>
      </rPr>
      <t>  </t>
    </r>
    <r>
      <rPr>
        <b/>
        <sz val="10"/>
        <color theme="1"/>
        <rFont val="Bookman Old Style"/>
        <charset val="134"/>
      </rPr>
      <t>Perusahaan tidak dapat melakukan settle transaksi atas gagal terima Perusahaan Efek Lainnya</t>
    </r>
  </si>
  <si>
    <t>Rasio Kas dan Setara Kas/ Rata-rata gagal terima Perusahaan Efek Lainnya &gt; 31 kali</t>
  </si>
  <si>
    <t>Memiliki POS terkait mekanisme gagal terima Perusahaan Efek yang memadai</t>
  </si>
  <si>
    <t>Tidak pernah terjadi Gagal Terima</t>
  </si>
  <si>
    <t>Rasio Kas dan Setara Kas/ Rata-rata gagal terima Perusahaan Efek Lainnya: 31 kali - 20 kali</t>
  </si>
  <si>
    <t>Nilai Gagal Terima Perusahaan Efek Lainnya: 0 &lt; x &lt; Rp333.788.107</t>
  </si>
  <si>
    <t>Frekuensi Gagal Terima Perusahaan Efek Lainnya: 1 kali - 3 kali</t>
  </si>
  <si>
    <t>Frekuensi Mengendap Gagal Terima Perusahaan Efek Lainnya: 1 kali - 3 kali</t>
  </si>
  <si>
    <t>Rasio Kas dan Setara Kas/ Rata-rata gagal terima Perusahaan Efek Lainnya: 19 kali - 12 kali</t>
  </si>
  <si>
    <r>
      <rPr>
        <sz val="10"/>
        <color theme="1"/>
        <rFont val="Bookman Old Style"/>
        <charset val="134"/>
      </rPr>
      <t xml:space="preserve">Memiliki POS terkait mekanisme gagal terima Perusahaan Efek yang </t>
    </r>
    <r>
      <rPr>
        <b/>
        <sz val="10"/>
        <color theme="1"/>
        <rFont val="Bookman Old Style"/>
        <charset val="134"/>
      </rPr>
      <t>tidak</t>
    </r>
    <r>
      <rPr>
        <sz val="10"/>
        <color theme="1"/>
        <rFont val="Bookman Old Style"/>
        <charset val="134"/>
      </rPr>
      <t xml:space="preserve"> memadai atau kebijakan tertulis selain POS</t>
    </r>
  </si>
  <si>
    <t>Nilai Gagal Terima Perusahaan Efek Lainnya: Rp333.788.107 - Rp3.356.574.164</t>
  </si>
  <si>
    <t>Frekuensi Gagal Terima Perusahaan Efek Lainnya: 4 kali - 5 kali</t>
  </si>
  <si>
    <t>Frekuensi Mengendap Gagal Terima Perusahaan Efek Lainnya: 4 kali - 59 kali</t>
  </si>
  <si>
    <t>Rasio Kas dan Setara Kas/ Rata-rata gagal terima Perusahaan Efek Lainnya: 11 kali - 1 kali</t>
  </si>
  <si>
    <t>Nilai Gagal Terima Perusahaan Efek Lainnya: Rp3.356.574.164 - Rp5.196.530.894</t>
  </si>
  <si>
    <t>Frekuensi Gagal Terima Perusahaan Efek Lainnya: 6 kali - 8 kali</t>
  </si>
  <si>
    <t>Frekuensi Mengendap Gagal Terima Perusahaan Efek Lainnya: 6 kali - 8 kali</t>
  </si>
  <si>
    <t>Rasio Kas dan Setara Kas/ Rata-rata gagal terima Perusahaan Efek Lainnya: &lt; 1 kali</t>
  </si>
  <si>
    <t>Nilai Gagal Terima Perusahaan Efek Lainnya: &gt; Rp5.196.530.894</t>
  </si>
  <si>
    <t>Frekuensi Gagal Terima Perusahaan Efek Lainnya &gt; 8 kali</t>
  </si>
  <si>
    <t>Frekuensi Mengendap Gagal Terima Perusahaan Efek Lainnya &gt; 8 kali</t>
  </si>
  <si>
    <t>RISIKO PASAR</t>
  </si>
  <si>
    <t>1. Perusahaan mengalami kerugian atas kepemilikan Portofolio</t>
  </si>
  <si>
    <r>
      <rPr>
        <sz val="10"/>
        <color theme="1"/>
        <rFont val="Bookman Old Style"/>
        <charset val="134"/>
      </rPr>
      <t xml:space="preserve">Rata-Rata nilai </t>
    </r>
    <r>
      <rPr>
        <i/>
        <sz val="10"/>
        <color theme="1"/>
        <rFont val="Bookman Old Style"/>
        <charset val="134"/>
      </rPr>
      <t>Haircut</t>
    </r>
    <r>
      <rPr>
        <sz val="10"/>
        <color theme="1"/>
        <rFont val="Bookman Old Style"/>
        <charset val="134"/>
      </rPr>
      <t>/ Rata-rata nilai pasar wajar: &lt;25%</t>
    </r>
  </si>
  <si>
    <t>Perusahaan memiliki fungsi Manajemen Risiko yang khusus mengatur kegiatan transaksi Portofolio Efek</t>
  </si>
  <si>
    <r>
      <rPr>
        <sz val="10"/>
        <color theme="1"/>
        <rFont val="Bookman Old Style"/>
        <charset val="134"/>
      </rPr>
      <t xml:space="preserve">Rasio </t>
    </r>
    <r>
      <rPr>
        <i/>
        <sz val="10"/>
        <color theme="1"/>
        <rFont val="Bookman Old Style"/>
        <charset val="134"/>
      </rPr>
      <t>Unrealized Loss</t>
    </r>
    <r>
      <rPr>
        <sz val="10"/>
        <color theme="1"/>
        <rFont val="Bookman Old Style"/>
        <charset val="134"/>
      </rPr>
      <t>/Total Aset &lt;5%</t>
    </r>
  </si>
  <si>
    <t xml:space="preserve">Memiliki POS dengan cakupan yang memuat alur pengambilan keputusan, kriteria portofolio, dan segregasi wewenang </t>
  </si>
  <si>
    <r>
      <rPr>
        <sz val="10"/>
        <color theme="1"/>
        <rFont val="Bookman Old Style"/>
        <charset val="134"/>
      </rPr>
      <t xml:space="preserve">Portofolio milik Perusahaan Efek tidak terkonsentrasi (tidak ada </t>
    </r>
    <r>
      <rPr>
        <i/>
        <sz val="10"/>
        <color theme="1"/>
        <rFont val="Bookman Old Style"/>
        <charset val="134"/>
      </rPr>
      <t>Ranking Liabilities</t>
    </r>
    <r>
      <rPr>
        <sz val="10"/>
        <color theme="1"/>
        <rFont val="Bookman Old Style"/>
        <charset val="134"/>
      </rPr>
      <t>)</t>
    </r>
  </si>
  <si>
    <r>
      <rPr>
        <sz val="10"/>
        <color theme="1"/>
        <rFont val="Bookman Old Style"/>
        <charset val="134"/>
      </rPr>
      <t xml:space="preserve">Perolehan portofolio dari fungsi Perusahaan Efek sebagai </t>
    </r>
    <r>
      <rPr>
        <i/>
        <sz val="10"/>
        <color theme="1"/>
        <rFont val="Bookman Old Style"/>
        <charset val="134"/>
      </rPr>
      <t>dealer</t>
    </r>
  </si>
  <si>
    <t>POS direviu berkala dan diperbaharui</t>
  </si>
  <si>
    <t>Rasio Portofolio Perusahaan Efek Terkonsentrasi/ Modal Disetor: &lt;0,29%</t>
  </si>
  <si>
    <t>Kompleksitas Portofolio sesuai dengan kompleksitas produk peringkat 5</t>
  </si>
  <si>
    <t>Tidak pernah terdapat pelanggaran terhadap POS</t>
  </si>
  <si>
    <t>Tidak memiliki portofolio</t>
  </si>
  <si>
    <r>
      <rPr>
        <sz val="10"/>
        <color theme="1"/>
        <rFont val="Bookman Old Style"/>
        <charset val="134"/>
      </rPr>
      <t xml:space="preserve">Rata-Rata nilai </t>
    </r>
    <r>
      <rPr>
        <i/>
        <sz val="10"/>
        <color theme="1"/>
        <rFont val="Bookman Old Style"/>
        <charset val="134"/>
      </rPr>
      <t>Haircut</t>
    </r>
    <r>
      <rPr>
        <sz val="10"/>
        <color theme="1"/>
        <rFont val="Bookman Old Style"/>
        <charset val="134"/>
      </rPr>
      <t>/ Rata-rata nilai pasar wajar: 43,98% - 47,95%</t>
    </r>
  </si>
  <si>
    <r>
      <rPr>
        <sz val="10"/>
        <color theme="1"/>
        <rFont val="Bookman Old Style"/>
        <charset val="134"/>
      </rPr>
      <t xml:space="preserve">Perusahaan </t>
    </r>
    <r>
      <rPr>
        <b/>
        <sz val="10"/>
        <color theme="1"/>
        <rFont val="Bookman Old Style"/>
        <charset val="134"/>
      </rPr>
      <t>tidak</t>
    </r>
    <r>
      <rPr>
        <sz val="10"/>
        <color theme="1"/>
        <rFont val="Bookman Old Style"/>
        <charset val="134"/>
      </rPr>
      <t xml:space="preserve"> memiliki fungsi Manajemen Risiko yang khusus mengatur kegiatan transaksi Portofolio Efek</t>
    </r>
  </si>
  <si>
    <r>
      <rPr>
        <sz val="10"/>
        <color theme="1"/>
        <rFont val="Bookman Old Style"/>
        <charset val="134"/>
      </rPr>
      <t xml:space="preserve">Rasio </t>
    </r>
    <r>
      <rPr>
        <i/>
        <sz val="10"/>
        <color theme="1"/>
        <rFont val="Bookman Old Style"/>
        <charset val="134"/>
      </rPr>
      <t>Unrealized Loss</t>
    </r>
    <r>
      <rPr>
        <sz val="10"/>
        <color theme="1"/>
        <rFont val="Bookman Old Style"/>
        <charset val="134"/>
      </rPr>
      <t>/Total Aset: 5% - 10%</t>
    </r>
  </si>
  <si>
    <r>
      <rPr>
        <sz val="10"/>
        <color theme="1"/>
        <rFont val="Bookman Old Style"/>
        <charset val="134"/>
      </rPr>
      <t xml:space="preserve">Terdapat POS terkait pelaksanaan kegiatan usaha sebagai </t>
    </r>
    <r>
      <rPr>
        <i/>
        <sz val="10"/>
        <color theme="1"/>
        <rFont val="Bookman Old Style"/>
        <charset val="134"/>
      </rPr>
      <t>dealer</t>
    </r>
    <r>
      <rPr>
        <sz val="10"/>
        <color theme="1"/>
        <rFont val="Bookman Old Style"/>
        <charset val="134"/>
      </rPr>
      <t xml:space="preserve"> yang memadai</t>
    </r>
  </si>
  <si>
    <r>
      <rPr>
        <sz val="10"/>
        <color theme="1"/>
        <rFont val="Bookman Old Style"/>
        <charset val="134"/>
      </rPr>
      <t xml:space="preserve">Perolehan portofolio dari fungsi PE sebagai dealer atau saham </t>
    </r>
    <r>
      <rPr>
        <i/>
        <sz val="10"/>
        <color theme="1"/>
        <rFont val="Bookman Old Style"/>
        <charset val="134"/>
      </rPr>
      <t>oddlot</t>
    </r>
  </si>
  <si>
    <t>Rasio Portofolio PE Terkonsentrasi/ Modal Disetor: 0,29% - 9,09%</t>
  </si>
  <si>
    <t>POS direviu secara insidentil dan diperbaharui</t>
  </si>
  <si>
    <t>Kompleksitas Portofolio sesuai dengan kompleksitas produk peringkat 4</t>
  </si>
  <si>
    <r>
      <rPr>
        <sz val="10"/>
        <color theme="1"/>
        <rFont val="Bookman Old Style"/>
        <charset val="134"/>
      </rPr>
      <t xml:space="preserve">Rata-Rata nilai </t>
    </r>
    <r>
      <rPr>
        <i/>
        <sz val="10"/>
        <color theme="1"/>
        <rFont val="Bookman Old Style"/>
        <charset val="134"/>
      </rPr>
      <t>Haircut</t>
    </r>
    <r>
      <rPr>
        <sz val="10"/>
        <color theme="1"/>
        <rFont val="Bookman Old Style"/>
        <charset val="134"/>
      </rPr>
      <t>/ Rata-rata nilai pasar wajar: 47,95% - 55,90%</t>
    </r>
  </si>
  <si>
    <t>Rasio Unrealized Loss/Total Aset: 10% - 25%</t>
  </si>
  <si>
    <r>
      <rPr>
        <sz val="10"/>
        <color theme="1"/>
        <rFont val="Bookman Old Style"/>
        <charset val="134"/>
      </rPr>
      <t xml:space="preserve">POS terkait pelaksanaan kegiatan usaha sebagai </t>
    </r>
    <r>
      <rPr>
        <i/>
        <sz val="10"/>
        <color theme="1"/>
        <rFont val="Bookman Old Style"/>
        <charset val="134"/>
      </rPr>
      <t>dealer</t>
    </r>
    <r>
      <rPr>
        <sz val="10"/>
        <color theme="1"/>
        <rFont val="Bookman Old Style"/>
        <charset val="134"/>
      </rPr>
      <t xml:space="preserve"> yang </t>
    </r>
    <r>
      <rPr>
        <b/>
        <sz val="10"/>
        <color theme="1"/>
        <rFont val="Bookman Old Style"/>
        <charset val="134"/>
      </rPr>
      <t>tidak</t>
    </r>
    <r>
      <rPr>
        <sz val="10"/>
        <color theme="1"/>
        <rFont val="Bookman Old Style"/>
        <charset val="134"/>
      </rPr>
      <t xml:space="preserve"> memadai atau hanya terdapat kebijakan lain selain POS</t>
    </r>
  </si>
  <si>
    <t>Rasio Portofolio PE Terkonsentrasi/ Modal Disetor: 9,09% - 14,95%</t>
  </si>
  <si>
    <t>POS tidak direviu berkala dan tidak diperbaharui</t>
  </si>
  <si>
    <t>Kompleksitas Portofolio sesuai dengan kompleksitas produk peringkat 3</t>
  </si>
  <si>
    <r>
      <rPr>
        <sz val="10"/>
        <color theme="1"/>
        <rFont val="Bookman Old Style"/>
        <charset val="134"/>
      </rPr>
      <t xml:space="preserve">Rata-Rata nilai </t>
    </r>
    <r>
      <rPr>
        <i/>
        <sz val="10"/>
        <color theme="1"/>
        <rFont val="Bookman Old Style"/>
        <charset val="134"/>
      </rPr>
      <t>Haircut</t>
    </r>
    <r>
      <rPr>
        <sz val="10"/>
        <color theme="1"/>
        <rFont val="Bookman Old Style"/>
        <charset val="134"/>
      </rPr>
      <t>/ Rata-rata nilai pasar wajar: 55,90% - 59,88%</t>
    </r>
  </si>
  <si>
    <r>
      <rPr>
        <sz val="10"/>
        <color theme="1"/>
        <rFont val="Bookman Old Style"/>
        <charset val="134"/>
      </rPr>
      <t xml:space="preserve">Rasio </t>
    </r>
    <r>
      <rPr>
        <i/>
        <sz val="10"/>
        <color theme="1"/>
        <rFont val="Bookman Old Style"/>
        <charset val="134"/>
      </rPr>
      <t>Unrealized Loss</t>
    </r>
    <r>
      <rPr>
        <sz val="10"/>
        <color theme="1"/>
        <rFont val="Bookman Old Style"/>
        <charset val="134"/>
      </rPr>
      <t>/Total Aset: 25% - 50%</t>
    </r>
  </si>
  <si>
    <t>Rasio Portofolio PE Terkonsentrasi/ Modal Disetor: 14,95% - 23,75%</t>
  </si>
  <si>
    <t>Perolehan portofolio dari penyerapan penjaminan dari fungsi PE sebagai penjamin emisi, dan/atau jaminan atas pembiayaan dan/atau piutang reverse repo yang telah default (sumber data X.E.1 lampiran 1).</t>
  </si>
  <si>
    <t>Terdapat Kebijakan, namun tidak tertulis</t>
  </si>
  <si>
    <t>Kompleksitas Portofolio sesuai dengan kompleksitas produk peringkat 2</t>
  </si>
  <si>
    <r>
      <rPr>
        <sz val="10"/>
        <color theme="1"/>
        <rFont val="Bookman Old Style"/>
        <charset val="134"/>
      </rPr>
      <t xml:space="preserve">Rata-Rata nilai </t>
    </r>
    <r>
      <rPr>
        <i/>
        <sz val="10"/>
        <color theme="1"/>
        <rFont val="Bookman Old Style"/>
        <charset val="134"/>
      </rPr>
      <t>Haircut</t>
    </r>
    <r>
      <rPr>
        <sz val="10"/>
        <color theme="1"/>
        <rFont val="Bookman Old Style"/>
        <charset val="134"/>
      </rPr>
      <t>/ Rata-rata nilai pasar wajar: &gt;59,88%</t>
    </r>
  </si>
  <si>
    <r>
      <rPr>
        <sz val="10"/>
        <color theme="1"/>
        <rFont val="Bookman Old Style"/>
        <charset val="134"/>
      </rPr>
      <t xml:space="preserve">Rasio </t>
    </r>
    <r>
      <rPr>
        <i/>
        <sz val="10"/>
        <color theme="1"/>
        <rFont val="Bookman Old Style"/>
        <charset val="134"/>
      </rPr>
      <t>Unrealized Loss</t>
    </r>
    <r>
      <rPr>
        <sz val="10"/>
        <color theme="1"/>
        <rFont val="Bookman Old Style"/>
        <charset val="134"/>
      </rPr>
      <t>/Total Aset &gt; 50%</t>
    </r>
  </si>
  <si>
    <t>Rasio Portofolio PE Terkonsentrasi/ Modal Disetor: &gt;23,75%</t>
  </si>
  <si>
    <t>Perolehan portofolio dari penyerapan penjaminan dari fungsi PE sebagai penjamin emisi, dan/atau jaminan atas pembiayaan dan/atau piutang reverse repo yang telah default (sumber data X.E.1 lampiran 1)</t>
  </si>
  <si>
    <r>
      <rPr>
        <b/>
        <sz val="10"/>
        <color theme="1"/>
        <rFont val="Bookman Old Style"/>
        <charset val="134"/>
      </rPr>
      <t>Tidak</t>
    </r>
    <r>
      <rPr>
        <sz val="10"/>
        <color theme="1"/>
        <rFont val="Bookman Old Style"/>
        <charset val="134"/>
      </rPr>
      <t xml:space="preserve"> memiliki POS atau kebijakan terkait pelaksanaan kegiatan usaha sebagai </t>
    </r>
    <r>
      <rPr>
        <i/>
        <sz val="10"/>
        <color theme="1"/>
        <rFont val="Bookman Old Style"/>
        <charset val="134"/>
      </rPr>
      <t>dealer</t>
    </r>
    <r>
      <rPr>
        <sz val="10"/>
        <color theme="1"/>
        <rFont val="Bookman Old Style"/>
        <charset val="134"/>
      </rPr>
      <t xml:space="preserve"> </t>
    </r>
  </si>
  <si>
    <t>Kompleksitas Portofolio sesuai dengan kompleksitas produk peringkat 1</t>
  </si>
  <si>
    <t>RISIKO KEPATUHAN</t>
  </si>
  <si>
    <t>1. Jumlah Sanksi yang diberikan</t>
  </si>
  <si>
    <t>(Jumlah Teguran tertulis x 5%) + (Denda x 15%), Pembatasan Kegiatan (x30%), Suspensi (x50%) adalah 0 atau tidak pernah mendapatkan teguran tertulis</t>
  </si>
  <si>
    <t>Memiliki POS terkait tindak lanjut atas temuan pemeriksaan OJK dan Bursa</t>
  </si>
  <si>
    <t>Tidak ada denda</t>
  </si>
  <si>
    <t>POS Direviu secara berkala dan diperbaharui</t>
  </si>
  <si>
    <t>Tidak ada pengulangan pelanggaran</t>
  </si>
  <si>
    <t>Jumlah Teguran tertulis (x5%) + Denda (x15%), Pembatasan Kegiatan (x30%), Suspensi (x50%) adalah 0 s.d. &gt;0,25</t>
  </si>
  <si>
    <t xml:space="preserve">Jumlah denda tidak signifikan dibandingkan rata-rata selisih nilai MKBD (3 tahun terakhir) </t>
  </si>
  <si>
    <t>Jumlah Teguran tertulis (x5%) + Denda (x15%), Pembatasan Kegiatan (x30%), Suspensi (x50%) adalah 0,26 s.d. &gt;0,5</t>
  </si>
  <si>
    <t>Hanya memiliki kebijakan tertulis selain POS terkait tindak lanjut atas temuan pemeriksaan OJK dan Bursa</t>
  </si>
  <si>
    <t>Jumlah denda signifikan dibandingkan selisih MKBD tetapi tidak menyebabkan rata-rata MKBD (3 tahun terakhir) masuk EWS</t>
  </si>
  <si>
    <t>Kebijakan tertulis tersebut diimplementasikan, diawasi dan diperiksa</t>
  </si>
  <si>
    <t>Kebijakan tertulis tidak direviu secara berkala dan tidak diperbarui</t>
  </si>
  <si>
    <t>Mengulang sebagian kecil temuan sebelumnya</t>
  </si>
  <si>
    <t>Tidak pernah terjadi pelanggaran yang signifikan terhadap Kebijakan Tertulis</t>
  </si>
  <si>
    <t>Jumlah Teguran tertulis (x5%) + Denda (x15%), Pembatasan Kegiatan (x30%), Suspensi (x50%) adalah 0,51 s.d. 1</t>
  </si>
  <si>
    <t>Jumlah denda berpengaruh signifikan dengan selisih MKBD menyebabkan rata-rata MKBD (3 tahun terakhir) masuk EWS (&lt;120%)</t>
  </si>
  <si>
    <t>Mengulang 50% temuan sebelumnya</t>
  </si>
  <si>
    <t>Jumlah Teguran tertulis (x5%) + Denda (x15%), Pembatasan Kegiatan (x30%), Suspensi (x50%) adalah &gt;1</t>
  </si>
  <si>
    <t>Tidak Ada POS dan tidak ada kebijakan</t>
  </si>
  <si>
    <t>Jumlah denda berpengaruh signifikan dengan selisih MKBD menyebabkan rata-rata MKBD (3 tahun terakhir) tidak memenuhi persyaratan minimum</t>
  </si>
  <si>
    <t>Terdapat fungsi-fungsi dalam Perusahaan yang masih perlu disempurnakan dan belum menerapkan ketentuan-ketentuan sesuai Peraturan karena infrastruktur belum memadai</t>
  </si>
  <si>
    <t>Mengulang seluruh temuan sebelumnya</t>
  </si>
  <si>
    <t>I. Pengaduan</t>
  </si>
  <si>
    <t>Frekuensi dan Jenis Pengaduan</t>
  </si>
  <si>
    <t>Tidak ada pengaduan</t>
  </si>
  <si>
    <r>
      <rPr>
        <sz val="10"/>
        <color theme="1"/>
        <rFont val="Bookman Old Style"/>
        <charset val="134"/>
      </rPr>
      <t xml:space="preserve">Terdapat </t>
    </r>
    <r>
      <rPr>
        <i/>
        <sz val="10"/>
        <color theme="1"/>
        <rFont val="Bookman Old Style"/>
        <charset val="134"/>
      </rPr>
      <t>whistle blowing system</t>
    </r>
  </si>
  <si>
    <t xml:space="preserve">Memiliki SOP dengan cakupan yang memuat alur penerimaan, penanganan, penyelesaian, dan segregasi wewenang </t>
  </si>
  <si>
    <t>POS diimplementasi, diawasi,  dan diperiksa</t>
  </si>
  <si>
    <t xml:space="preserve">POS direviu secara berkala dan diperbarui </t>
  </si>
  <si>
    <t>Terdapat Pengaduan dan semua telah selesai ditangani.</t>
  </si>
  <si>
    <r>
      <rPr>
        <sz val="10"/>
        <color theme="1"/>
        <rFont val="Bookman Old Style"/>
        <charset val="134"/>
      </rPr>
      <t xml:space="preserve">Tidak terdapat </t>
    </r>
    <r>
      <rPr>
        <i/>
        <sz val="10"/>
        <color theme="1"/>
        <rFont val="Bookman Old Style"/>
        <charset val="134"/>
      </rPr>
      <t>whistle blowing system</t>
    </r>
  </si>
  <si>
    <t>Jenis pengaduan nasabah  kurang signifikan mempengaruhi kinerja Perusahaan Efek  dan hubungan dengan nasabah (Misal: berkaitan dengan layanan)</t>
  </si>
  <si>
    <t>Pengaduan tidak berulang</t>
  </si>
  <si>
    <t xml:space="preserve">POS direviu secara insidentil dan diperbarui </t>
  </si>
  <si>
    <t>Terdapat pengaduan namun beberapa belum selesai ditangani</t>
  </si>
  <si>
    <t>Jenis pengaduan nasabah  cukup signifikan mempengaruhi kinerja Perusahaan Efek dan hubungan dengan nasabah</t>
  </si>
  <si>
    <t>Hanya memiliki kebijakan tertulis terkait penanganan pengaduan</t>
  </si>
  <si>
    <t>Kebijakan tertulis diimplementasikan, diawasi, dan diperiksa</t>
  </si>
  <si>
    <t>Kebijakan tertulis tidak direviu secara berkala dan tidak diperbarui.</t>
  </si>
  <si>
    <t>Pengaduan berulang</t>
  </si>
  <si>
    <t>Tidak pernah terjadi pelanggaran yang signifikan terhadap Kebijakan tertulis</t>
  </si>
  <si>
    <t>Terdapat kebijakan tetapi tidak tertulis</t>
  </si>
  <si>
    <t>Jenis pengaduan nasabah signifikan mempengaruhi kinerja Perusahaan Efek dan hubungan dengan nasabah</t>
  </si>
  <si>
    <t>Terdapat pengaduan dan semua tidak ditangani</t>
  </si>
  <si>
    <t>Tidak memiliki POS dan kebijakan terkait penanganan pengaduan</t>
  </si>
  <si>
    <t>Jenis pengaduan nasabah sangat signifikan mempengaruhi kinerja Perusahaan Efek dan hubungan dengan nasabah</t>
  </si>
  <si>
    <t>II. Pemberitaan Negatif</t>
  </si>
  <si>
    <t>II. Pemberitaan Negatif</t>
  </si>
  <si>
    <t>Frekuensi, jenis, dampak Pemberitaan negatif dan media yang digunakan.</t>
  </si>
  <si>
    <t>Tidak pernah menerima pemberitaan negatif</t>
  </si>
  <si>
    <t>Selalu menggunakan hak jawab pemberitaan negatif (jika ada)</t>
  </si>
  <si>
    <t>Memiliki POS yang memadai mengenai penggunaan hak jawab terkait pemberitaan negatif di media</t>
  </si>
  <si>
    <t>POS tersebut diimplementasi, diawasi,  dan diperiksa.</t>
  </si>
  <si>
    <t>POS tersebut direviu secara berkala dan diperbarui</t>
  </si>
  <si>
    <t>a. Dalam 1 tahun Perusahaan mengalami pemberitaan negatif sebanyak 1-2 kali; dan/atau</t>
  </si>
  <si>
    <t>Menggunakan hak jawab pemberitaan negatif sebanyak 75% dari frekuensi pemberitaan</t>
  </si>
  <si>
    <t>Memiliki POS dengan cakupan yang kurang memadai, namun SOP tersebut diimplementasi, diawasi dan direview.</t>
  </si>
  <si>
    <t>Menggunakan hak jawab pemberitaan negatif 50% dari frekuensi pemberitaan</t>
  </si>
  <si>
    <t>Tidak memiliki SOP namun memiliki Kebijakan Tertulis untuk melakukan implementasi penanganan dan penyelesaian pemberitaan negatif</t>
  </si>
  <si>
    <t>Pernah mendapatkan pemberitaan negatif</t>
  </si>
  <si>
    <t>Menggunakan hak jawab pemberitaan negatif 25% dari frekuensi pemberitaan</t>
  </si>
  <si>
    <t>Jenis Pemberitaan Negatif dan Media Pemberitaan Negatif berdampak signifikan</t>
  </si>
  <si>
    <t xml:space="preserve">Tidak pernah menggunakan hak jawab pemberitaan negatif </t>
  </si>
  <si>
    <t>Jenis Pemberitaan Negatif dan Media Pemberitaan Negatif sangat berdampak signifikan</t>
  </si>
  <si>
    <t>RISIKO HUKUM</t>
  </si>
  <si>
    <t>Perusahaan menerima gugatan / litigasi</t>
  </si>
  <si>
    <t>Tidak terdapat proses Litigasi terhadap Perusahaan Efek yang sedang dijalani</t>
  </si>
  <si>
    <t>Perusahaan Efek menunjuk kuasa hukum/ memiliki staf hukum yang kompeten</t>
  </si>
  <si>
    <t xml:space="preserve">Memiliki POS yang sangat memadai </t>
  </si>
  <si>
    <t>POS direviu secara berkala dan diperbarui</t>
  </si>
  <si>
    <t>Terdapat proses litigasi terhadap Perusahaan Efek oleh nasabah Perusahaan Efek</t>
  </si>
  <si>
    <r>
      <rPr>
        <sz val="10"/>
        <color theme="1"/>
        <rFont val="Bookman Old Style"/>
        <charset val="134"/>
      </rPr>
      <t>Nilai gugatan tidak signifikan (</t>
    </r>
    <r>
      <rPr>
        <b/>
        <sz val="10"/>
        <color theme="1"/>
        <rFont val="Bookman Old Style"/>
        <charset val="134"/>
      </rPr>
      <t>tidak</t>
    </r>
    <r>
      <rPr>
        <sz val="10"/>
        <color theme="1"/>
        <rFont val="Bookman Old Style"/>
        <charset val="134"/>
      </rPr>
      <t xml:space="preserve"> mengakibatkan rata-rata Nilai  MKBD Perusahaan Efek  berada dalam kondisi EWS(&lt;120%))</t>
    </r>
  </si>
  <si>
    <t>Proses Litigasi ditangani secara memadai.</t>
  </si>
  <si>
    <r>
      <rPr>
        <sz val="10"/>
        <color theme="1"/>
        <rFont val="Bookman Old Style"/>
        <charset val="134"/>
      </rPr>
      <t>Nilai gugatan tidak signifikan (</t>
    </r>
    <r>
      <rPr>
        <b/>
        <sz val="10"/>
        <color theme="1"/>
        <rFont val="Bookman Old Style"/>
        <charset val="134"/>
      </rPr>
      <t>mengakibatkan</t>
    </r>
    <r>
      <rPr>
        <sz val="10"/>
        <color theme="1"/>
        <rFont val="Bookman Old Style"/>
        <charset val="134"/>
      </rPr>
      <t xml:space="preserve"> rata-rata Nilai  MKBD Perusahaan Efek  berada dalam kondisi EWS(110%&lt; nilai MKBD &lt;120%))</t>
    </r>
  </si>
  <si>
    <t>Hanya memiliki Kebijakan tertulis</t>
  </si>
  <si>
    <t>Kebijakan tertulis tersebut tidak direviu secara berkala dan tidak diperbarui</t>
  </si>
  <si>
    <r>
      <rPr>
        <sz val="10"/>
        <color theme="1"/>
        <rFont val="Bookman Old Style"/>
        <charset val="134"/>
      </rPr>
      <t>Nilai gugatan tidak signifikan (</t>
    </r>
    <r>
      <rPr>
        <b/>
        <sz val="10"/>
        <color theme="1"/>
        <rFont val="Bookman Old Style"/>
        <charset val="134"/>
      </rPr>
      <t>mengakibatkan</t>
    </r>
    <r>
      <rPr>
        <sz val="10"/>
        <color theme="1"/>
        <rFont val="Bookman Old Style"/>
        <charset val="134"/>
      </rPr>
      <t xml:space="preserve"> rata-rata Nilai  MKBD Perusahaan Efek  berada dalam kondisi EWS(100% &lt; Nilai MKBD &lt;110%))</t>
    </r>
  </si>
  <si>
    <t xml:space="preserve">Ada kebijakan tetapi tidak tertulis </t>
  </si>
  <si>
    <t>Perusahaan Efek tidak menunjuk kuasa hukum/ tidak memiliki staf hukum</t>
  </si>
  <si>
    <r>
      <rPr>
        <sz val="10"/>
        <color theme="1"/>
        <rFont val="Bookman Old Style"/>
        <charset val="134"/>
      </rPr>
      <t>Nilai gugatan tidak signifikan (</t>
    </r>
    <r>
      <rPr>
        <b/>
        <sz val="10"/>
        <color theme="1"/>
        <rFont val="Bookman Old Style"/>
        <charset val="134"/>
      </rPr>
      <t>mengakibatkan</t>
    </r>
    <r>
      <rPr>
        <sz val="10"/>
        <color theme="1"/>
        <rFont val="Bookman Old Style"/>
        <charset val="134"/>
      </rPr>
      <t xml:space="preserve"> rata-rata Nilai  MKBD Perusahaan Efek tidak dapat memenuhi nilai MKBD minimum yang dipersyaratkan)</t>
    </r>
  </si>
  <si>
    <t xml:space="preserve">Tidak memiliki kebijakan </t>
  </si>
  <si>
    <r>
      <rPr>
        <sz val="10"/>
        <color theme="1"/>
        <rFont val="Bookman Old Style"/>
        <charset val="134"/>
      </rPr>
      <t xml:space="preserve">Tidak ditangani (tidak menghadiri persidangan/ </t>
    </r>
    <r>
      <rPr>
        <i/>
        <sz val="10"/>
        <color theme="1"/>
        <rFont val="Bookman Old Style"/>
        <charset val="134"/>
      </rPr>
      <t>in absensia</t>
    </r>
    <r>
      <rPr>
        <sz val="10"/>
        <color theme="1"/>
        <rFont val="Bookman Old Style"/>
        <charset val="134"/>
      </rPr>
      <t>).</t>
    </r>
  </si>
  <si>
    <t>Perusahaan memiliki Perjanjian dengan Kelemahan Perikatan</t>
  </si>
  <si>
    <t xml:space="preserve">Perjanjian yang dibuat oleh Perusahaan Efek telah sangat memadai.  </t>
  </si>
  <si>
    <t>Perusahaan Efek selalu menggunakan forum penyelesaian sengketa</t>
  </si>
  <si>
    <r>
      <rPr>
        <sz val="10"/>
        <color theme="1"/>
        <rFont val="Bookman Old Style"/>
        <charset val="134"/>
      </rPr>
      <t>Perjanjian yang dibuat oleh Perusahaan Efek memadai namun masih</t>
    </r>
    <r>
      <rPr>
        <b/>
        <sz val="10"/>
        <color theme="1"/>
        <rFont val="Bookman Old Style"/>
        <charset val="134"/>
      </rPr>
      <t xml:space="preserve"> terdapat beberapa kelemahan minor</t>
    </r>
    <r>
      <rPr>
        <sz val="10"/>
        <color theme="1"/>
        <rFont val="Bookman Old Style"/>
        <charset val="134"/>
      </rPr>
      <t xml:space="preserve">. Perjanjian telah direviu oleh konsultan hukum independen namun belum secara berkala, tetapi divisi yang membawahi hukum di Perusahaan Efek telah melakukan reviu secara berkala atas perjanjian yang digunakan Perusahaan Efek. </t>
    </r>
  </si>
  <si>
    <r>
      <rPr>
        <sz val="10"/>
        <color theme="1"/>
        <rFont val="Bookman Old Style"/>
        <charset val="134"/>
      </rPr>
      <t>Perjanjian yang dibuat oleh Perusahaan Efek cukup memadai namun dan masih terdapat beberapa</t>
    </r>
    <r>
      <rPr>
        <b/>
        <sz val="10"/>
        <color theme="1"/>
        <rFont val="Bookman Old Style"/>
        <charset val="134"/>
      </rPr>
      <t xml:space="preserve"> kelemahan yang kurang signifikan dan perlu segera diperbaiki</t>
    </r>
    <r>
      <rPr>
        <sz val="10"/>
        <color theme="1"/>
        <rFont val="Bookman Old Style"/>
        <charset val="134"/>
      </rPr>
      <t>. Perusahaan Efek belum sepenuhnya melakukan pengkinian terhadap perjanjian yang digunakan</t>
    </r>
  </si>
  <si>
    <t>Memiliki Kebijakan tertulis selain SOP</t>
  </si>
  <si>
    <t>tidak selalu menggunakan forum penyelesaian sengketa</t>
  </si>
  <si>
    <r>
      <rPr>
        <sz val="10"/>
        <color theme="1"/>
        <rFont val="Bookman Old Style"/>
        <charset val="134"/>
      </rPr>
      <t xml:space="preserve">Perjanjian yang dibuat oleh Perusahaan Efek </t>
    </r>
    <r>
      <rPr>
        <b/>
        <sz val="10"/>
        <color theme="1"/>
        <rFont val="Bookman Old Style"/>
        <charset val="134"/>
      </rPr>
      <t>kurang memadai</t>
    </r>
    <r>
      <rPr>
        <sz val="10"/>
        <color theme="1"/>
        <rFont val="Bookman Old Style"/>
        <charset val="134"/>
      </rPr>
      <t xml:space="preserve"> serta </t>
    </r>
    <r>
      <rPr>
        <b/>
        <sz val="10"/>
        <color theme="1"/>
        <rFont val="Bookman Old Style"/>
        <charset val="134"/>
      </rPr>
      <t xml:space="preserve">terdapat beberapa kelemahan mayor </t>
    </r>
    <r>
      <rPr>
        <sz val="10"/>
        <color theme="1"/>
        <rFont val="Bookman Old Style"/>
        <charset val="134"/>
      </rPr>
      <t>yang dapat mengakibatkan kesalahan dalam interprestasi perjanjian baik oleh para pihak maupun aparatur penegak hukum. Divisi yang membawahi hukum di Perusahaan Efek kurang memperhatikan perkembangan terkini dalam rangka mereviu secara berkala atas perjanjian yang digunakan oleh Perusahaan Efek.</t>
    </r>
  </si>
  <si>
    <t>Kebijakan tidak tertulis</t>
  </si>
  <si>
    <t>Tidak selalu menggunakan forum penyelesaian sengketa</t>
  </si>
  <si>
    <r>
      <rPr>
        <sz val="10"/>
        <color theme="1"/>
        <rFont val="Bookman Old Style"/>
        <charset val="134"/>
      </rPr>
      <t xml:space="preserve">Perjanjian yang dibuat oleh Perusahaan Efek </t>
    </r>
    <r>
      <rPr>
        <b/>
        <sz val="10"/>
        <color theme="1"/>
        <rFont val="Bookman Old Style"/>
        <charset val="134"/>
      </rPr>
      <t>sama sekali tidak memadai</t>
    </r>
    <r>
      <rPr>
        <sz val="10"/>
        <color theme="1"/>
        <rFont val="Bookman Old Style"/>
        <charset val="134"/>
      </rPr>
      <t xml:space="preserve"> dan sama sekali </t>
    </r>
    <r>
      <rPr>
        <b/>
        <sz val="10"/>
        <color theme="1"/>
        <rFont val="Bookman Old Style"/>
        <charset val="134"/>
      </rPr>
      <t>tidak pernah direviu</t>
    </r>
    <r>
      <rPr>
        <sz val="10"/>
        <color theme="1"/>
        <rFont val="Bookman Old Style"/>
        <charset val="134"/>
      </rPr>
      <t xml:space="preserve"> sehingga tidak diketahui kelemahannya.</t>
    </r>
  </si>
  <si>
    <t>Tidak memiliki SOP atau pun Kebijakan terkait pembuatan perjanjian yang digunakan oleh Perusahaan Efek</t>
  </si>
  <si>
    <t>Tidak menggunakan forum penyelesaian sengketa</t>
  </si>
  <si>
    <t>Ketiadaan Peraturan Perundang-undangan</t>
  </si>
  <si>
    <t>PE tidak memiliki suatu aktivitas dan produk yang belum ada aturannya dalam peraturan perundang-undangan yang berlaku</t>
  </si>
  <si>
    <r>
      <rPr>
        <sz val="10"/>
        <color theme="1"/>
        <rFont val="Bookman Old Style"/>
        <charset val="134"/>
      </rPr>
      <t xml:space="preserve">Aktivitas dan produk yang belum ada aturannya disertai </t>
    </r>
    <r>
      <rPr>
        <i/>
        <sz val="10"/>
        <color theme="1"/>
        <rFont val="Bookman Old Style"/>
        <charset val="134"/>
      </rPr>
      <t>underlying</t>
    </r>
    <r>
      <rPr>
        <sz val="10"/>
        <color theme="1"/>
        <rFont val="Bookman Old Style"/>
        <charset val="134"/>
      </rPr>
      <t xml:space="preserve"> perjanjian dan jaminan yang memadai.</t>
    </r>
  </si>
  <si>
    <t>Mendapatkan persetujuan OJK</t>
  </si>
  <si>
    <t xml:space="preserve"> PE tidak memiliki suatu aktivitas dan produk yang belum ada aturannya dalam peraturan perundang-undangan yang berlaku</t>
  </si>
  <si>
    <t xml:space="preserve"> Memasarkan suatu aktivitas dan produk yang belum ada aturannya dalam peraturan perundang-undangan yang berlaku</t>
  </si>
  <si>
    <t>Aktivitas dan produk yang belum ada aturannya  disertai underlying perjanjian dan jaminan yang memadai.</t>
  </si>
  <si>
    <t>Belum mendapatkan persetujuan OJK</t>
  </si>
  <si>
    <t>Memiliki suatu aktivitas dan produk yang belum ada aturannya dalam peraturan perundang-undangan yang berlaku</t>
  </si>
  <si>
    <t>Menerbitkan suatu aktivitas dan produk yang belum ada aturannya dalam peraturan perundang-undangan yang berlaku</t>
  </si>
  <si>
    <t>Aktivitas dan produk yang belum ada aturannya tidak disertai underlying perjanjian dan jaminan yang memadai.</t>
  </si>
  <si>
    <t>Tidak Mendapatkan persetujuan OJK</t>
  </si>
  <si>
    <t>Keterangan</t>
  </si>
  <si>
    <t>Kesesuaian Strategi dengan Kondisi Lingkungan Bisnis</t>
  </si>
  <si>
    <t>Perusahaan Efek Anggota Bursa memiliki keunggulan kompetitif yang stabil, dan tidak terdapat ancaman dari kompetitor</t>
  </si>
  <si>
    <t>Secara Umum Sumber daya sangat memadai dari segi kuantitas maupun kompetensi</t>
  </si>
  <si>
    <t>Perusahaan Efek memiliki keunggulan kompetitif  dan ancaman kompetitor tergolong minor.</t>
  </si>
  <si>
    <t>Secara Umum Sumber daya memadai baik dari sisi kuantitas maupun kompetensi pada fungsi manajemen risiko stratejik.</t>
  </si>
  <si>
    <t>Perusahaan Efek Anggota Bursa memiliki keunggulan kompetitif yang
Moderat dan terdapat ancaman dari kompetitor.</t>
  </si>
  <si>
    <t>Secara Umum Sumber daya cukup memadai baik dari sisi kuantitas maupun kompetensi pada fungsi manajemen risiko stratejik.</t>
  </si>
  <si>
    <t>Perusahaan Efek Anggota Bursa kurang memiliki keunggulan kompetitif, atau terdapat ancaman signifikan dari kompetitor.</t>
  </si>
  <si>
    <t>Secara Umum Sumber daya kurang memadai baik dari sisi kuantitas maupun kompetensi pada fungsi manajemen risiko stratejik.</t>
  </si>
  <si>
    <t>Perusahaan Efek Anggota Bursa tidak memiliki keunggulan kompetitif, dan terdapat ancaman sangat signifikan dari kompetitor.</t>
  </si>
  <si>
    <t>Secara Umum Sumber daya tidak memadai baik dari sisi kuantitas maupun kompetensi pada fungsi manajemen risiko stratejik.</t>
  </si>
  <si>
    <t>Kesimpulan:</t>
  </si>
  <si>
    <t>Strategic Positioning Perusahaan Efek di Industri Perusahaan Efek</t>
  </si>
  <si>
    <t>Produk/kegiatan usaha Perusahaan Efek Anggota Bursa Tergolong stabil, tidak kompleks, dan terdiversifikasi.</t>
  </si>
  <si>
    <t>Secara umum sumber daya sangat memadai dari segi kuantitas maupun kompetensi</t>
  </si>
  <si>
    <t>Produk/ kegiatan usaha Perusahaan Efek Anggota Bursa tergolong tidak kompleks dan terdiversifikasi.</t>
  </si>
  <si>
    <t>Secara umum sumber daya memadai dari segi kuantitas maupun kompetensi</t>
  </si>
  <si>
    <t>Produk/ kegiatan usaha Perusahaan Efek Anggota Bursa secara umum terdiversifikasi, namun terdapat yang tergolong kompleks.</t>
  </si>
  <si>
    <t>Secara umum sumber daya cukup memadai dari segi kuantitas maupun kompetensi</t>
  </si>
  <si>
    <t>Beberapa produk/kegiatan usaha Perusahaan Efek Anggota Bursa terkonsentrasi dan tergolong kompleks.</t>
  </si>
  <si>
    <t>Secara umum sumber daya kurang memadai dari segi kuantitas maupun kompetensi</t>
  </si>
  <si>
    <t>Produk/kegiatan usaha sangat terkonsentrasi dan tergolong kompleks.</t>
  </si>
  <si>
    <t xml:space="preserve">Secara Umum Sumber daya tidak memadai dari segi kuantitas maupun kompetensi </t>
  </si>
  <si>
    <t>Strategi berisiko rendah dan Strategi berisiko tinggi</t>
  </si>
  <si>
    <t>Strategi Perusahaan Efek Anggota Bursa tergolong konservatif  atau berisiko rendah.</t>
  </si>
  <si>
    <t>Perumusan peringkat risiko yang akan diambil (risk appetite) dan toleransi risiko (risk tolerance) sangat memadai dan telah sejalan dengan sasaran strategis dan strategi bisnis Perusahaan Efek Anggota Bursa secara keseluruhan.</t>
  </si>
  <si>
    <t>Proses manajemen risiko stratejik sangat memadai dalam mengidentifikasi, mengukur, memantau,dan mengendalikan risiko stratejik.</t>
  </si>
  <si>
    <r>
      <rPr>
        <sz val="10"/>
        <color theme="1"/>
        <rFont val="Bookman Old Style"/>
        <charset val="134"/>
      </rPr>
      <t xml:space="preserve">Direksi dan Dewan Komisaris memiliki </t>
    </r>
    <r>
      <rPr>
        <i/>
        <sz val="10"/>
        <color theme="1"/>
        <rFont val="Bookman Old Style"/>
        <charset val="134"/>
      </rPr>
      <t xml:space="preserve">awareness </t>
    </r>
    <r>
      <rPr>
        <sz val="10"/>
        <color theme="1"/>
        <rFont val="Bookman Old Style"/>
        <charset val="134"/>
      </rPr>
      <t>dan pemahaman yang sangat baik mengenai manajemen risiko stratejik, sumber risiko stratejik dan risiko stratejik.</t>
    </r>
  </si>
  <si>
    <t>Budaya manajemen risiko stratejik sangat kuat dan telah diinternalisasikan dengan sangat baik pada seluruh level organisasi.</t>
  </si>
  <si>
    <t>Strategi Perusahaan Efek Anggota Bursa Berisiko rendah namun dengan tren meningkat.</t>
  </si>
  <si>
    <t>Perumusan peringkat risiko yang akan diambil (risk appetite) dan toleransi risiko (risk tolerance) memadai dan telah sejalan dengan sasaran strategis dan strategi bisnis Perusahaan Efek Anggota Bursa secara keseluruhan.</t>
  </si>
  <si>
    <t>Proses manajemen risiko stratejik memadai dalam mengidentifikasi, mengukur, memantau, dan mengendalikan risiko stratejik.</t>
  </si>
  <si>
    <t>Direksi dan Dewan Komisaris memiliki awareness dan pemahaman yang baik mengenai manajemen risiko stratejik.</t>
  </si>
  <si>
    <t>Budaya manajemen risiko stratejik kuat dan telah diinternalisasikan dengan baik pada seluruh level organisasi.</t>
  </si>
  <si>
    <t>Strategi Perusahaan Efek Anggota Bursa tergolong berisiko moderate.</t>
  </si>
  <si>
    <t>Perumusan peringkat risiko yang akan diambil (risk appetite) dan toleransi risiko (risk tolerance) cukup memadai tetapi tidak selalu sejalan dengan    sasaran strategi dan strategi bisnis Perusahaan Efek secara keseluruhan.</t>
  </si>
  <si>
    <t>Proses manajemen risiko stratejik cukup memadai dalam mengidentifikasi, mengukur, memantau,dan mengendalikan risiko stratejik.</t>
  </si>
  <si>
    <t>Direksi dan Dewan Komisaris memiliki awareness dan pemahaman yang cukup baik mengenai manajemen risiko stratejik.</t>
  </si>
  <si>
    <t>Budaya manajemen risiko stratejik cukup kuat dan telah diinternalisasikan dengan cukup baik tetapi belum selalu dilaksanakan secara konsisten.</t>
  </si>
  <si>
    <t>Strategi Perusahaan Efek Anggota Bursa tergolong berisiko moderate namun dengan tren meningkat.</t>
  </si>
  <si>
    <t>Perumusan peringkat risiko yang akan diambil (risk appetite) dan toleransi risiko (risk tolerance) kurang memadai dan tidak sejalan dengan sasaran strategis dan strategi bisnis Perusahaan Efek secara keseluruhan.</t>
  </si>
  <si>
    <t>Proses manajemen risiko stratejik Kurang memadai dalam mengidentifikasi, mengukur, memantau,dan mengendalikan risiko stratejik.</t>
  </si>
  <si>
    <t>Pelaksanaan tugas Direksi dan Dewan Komisaris secara Umum kurang memadai. Terdapat kelemahan pada berbagai aspek penilaian yang membutuhkan perbaikan segera.</t>
  </si>
  <si>
    <t>Budaya manajemen risiko stratejik kurang kuat dan belum diinternalisasikan dengan baik pada setiap level satuan kerja.</t>
  </si>
  <si>
    <t>Strategi Perusahaan Efek Anggota Bursa tergolong berisiko tinggi.</t>
  </si>
  <si>
    <t>Perumusan peringkat risiko yang akan diambil(risk appetite) dan toleransi risiko (risk tolerance) tidak memadai dan tidak terdapat kaitan dengan dengan sasaran strategis dan strategi bisnis Perusahaan Efek secara keseluruhan.</t>
  </si>
  <si>
    <t>Proses manajemen risiko stratejik tidak memadai dalam mengidentifikasi, mengukur, memantau, dan mengendalikan risiko stratejik.</t>
  </si>
  <si>
    <t>Pelaksanaan tugas Direksi dan Dewan Komisaris tidak memadai. Terdapat kelemahan yang signifikan pada hampir seluruh aspek penilaian dan tindakan dan penyelesaiannya di luar kemampuan Perusahaan Efek.</t>
  </si>
  <si>
    <t>Budaya manajemen risiko stratejik tidak kuat atau belum ada sama sekali</t>
  </si>
  <si>
    <t>Pencapaian Realisasi Bisnis Perusahaan Efek</t>
  </si>
  <si>
    <t>Pencapaian Realisasi Bisnis Perusahaan Efek sangat baik</t>
  </si>
  <si>
    <t>Secara umum sumber daya manusia sangat memadai dari segi kuantitas maupun kompetensi</t>
  </si>
  <si>
    <t>Pelaksanaan tugas Direksi dan Dewan Komisaris secara keseluruhan sangat memadai.</t>
  </si>
  <si>
    <t>Kebijakan dan prosedur manajemen risiko stratejik sangat memadai dan tersedia untuk seluruh area manajemen risiko stratejik, sejalan dengan penerapan,dan dipahami dengan baik oleh pegawai.</t>
  </si>
  <si>
    <t>Pencapaian rencana bisnis Perusahaan Efek Anggota Bursa baik.</t>
  </si>
  <si>
    <t>Sumber daya manusia memadai baik dari sisi kuantitas maupun kompetensi</t>
  </si>
  <si>
    <t>Pelaksanaan tugas Direksi dan Dewan Komisaris secara umum memadai. Terdapat beberapa kelemahan tetapi tidak signifikan dan dapat diperbaiki dengan segera.</t>
  </si>
  <si>
    <t>Kebijakan dan prosedur manajemen risiko stratejik memadai dan tersedia Untuk seluruh area manajemen risiko stratejik, sejalan dengan penerapan, dan dipahami dengan baik oleh pegawai meskipun terdapat kelemahan minor.</t>
  </si>
  <si>
    <t>Pencapaian rencana bisnis Perusahaan Efek Anggota Bursa cukup baik</t>
  </si>
  <si>
    <t>Secara umum Sumber daya manusia cukup memadai baik dari sisi kuantitas maupun kompetensi</t>
  </si>
  <si>
    <t>Pelaksanaan tugas Direksi dan Dewan Komisaris secara umum cukup memadai. Terdapat kelemahan pada beberapa aspek penilaian yang perlu mendapat perhatian manajemen.</t>
  </si>
  <si>
    <t>Kebijakan dan prosedur manajemen risiko stratejik cukup memadai namun tidak dipahami dengan baik oleh pegawai, sehingga berdampak antara lain pada penerapannya yang tidak konsisten.</t>
  </si>
  <si>
    <t>Pencapaian rencana bisnis Perusahaan Efek Anggota Bursa kurang baik</t>
  </si>
  <si>
    <t xml:space="preserve">Sumber daya manusia kurang memadai dari segi kuantitas maupun kompetensi </t>
  </si>
  <si>
    <t>Kelemahan signifikan pada kebijakan, prosedur, dan limit risiko stratejik.</t>
  </si>
  <si>
    <t>Pencapaian rencana bisnis Perusahaan Efek Anggota Bursa tidak baik.</t>
  </si>
  <si>
    <t>Sumber daya Manusia tidak memadai dari segi kuantitas maupun kompetensi pada fungsi manjemen risiko stratejik.</t>
  </si>
  <si>
    <t>Kelemahan signifikan pada fungsi manajemen risiko stratejik yang membutuhkan perbaikan fundamental.</t>
  </si>
  <si>
    <t>Kode</t>
  </si>
  <si>
    <t>Perusahaan Efek</t>
  </si>
  <si>
    <t>Periode</t>
  </si>
  <si>
    <t>Tingkat Kesehatan PE</t>
  </si>
  <si>
    <t>MR</t>
  </si>
  <si>
    <t xml:space="preserve"> a. Risiko Operasional</t>
  </si>
  <si>
    <t xml:space="preserve"> I. Kompleksitas Bisnis</t>
  </si>
  <si>
    <t>1. Kompleksitas Produk dan Transaksi</t>
  </si>
  <si>
    <t>2. Kompleksitas Layanan Jasa Perdagangan</t>
  </si>
  <si>
    <t>3. Kompleksitas Nasabah</t>
  </si>
  <si>
    <t xml:space="preserve"> II. Sumber Daya Manusia</t>
  </si>
  <si>
    <t>1. Beban kerja pegawai</t>
  </si>
  <si>
    <t>3. Fraud</t>
  </si>
  <si>
    <t xml:space="preserve"> III. Teknologi Informasi</t>
  </si>
  <si>
    <t>1. Kegagalan sistem</t>
  </si>
  <si>
    <t>2. Sistem tidak mampu mendukung kompleksitas bisnis</t>
  </si>
  <si>
    <t>5. Kemungkinan sistem diakses oleh pihak yang tidak terotorisasi</t>
  </si>
  <si>
    <t xml:space="preserve"> b. Risiko Kredit</t>
  </si>
  <si>
    <t>1. Gagal Serah Nasabah Kelembagaan (NK)</t>
  </si>
  <si>
    <t>2. Gagal Serah Perusahaan Efek (PE)</t>
  </si>
  <si>
    <t>3. Potensi Tidak tertagihnya transaksi efek  yang tidak dijamin oleh LKP</t>
  </si>
  <si>
    <t>4. Pemberian pembiayaan marjin yang agresif</t>
  </si>
  <si>
    <t>5. Kualitas Transaksi Reverse Repo Tidak Memadai</t>
  </si>
  <si>
    <t>6. Pemberian Pembiayaan non-marjin yang tidak sesuai dengan ketentuan</t>
  </si>
  <si>
    <t xml:space="preserve"> c. Risiko Likuiditas</t>
  </si>
  <si>
    <t>1. Aset lancar tidak dapat melunasi hutang</t>
  </si>
  <si>
    <t>2. Tidak dapat melunasi tagihan KPEI atas transaksi nasabah reguler</t>
  </si>
  <si>
    <t>3. Transaksi Hutang Repo</t>
  </si>
  <si>
    <t>4. Perusahaan tidak dapat melunasi Pinjaman dana nasabah</t>
  </si>
  <si>
    <t>5. Perusahaan tidak memiliki kemampuan likuiditas ketika melakukan kegiatan penjaminan</t>
  </si>
  <si>
    <t>6. Perusahaan tidak dapat melakukan settlement transaksi nasabah kelembagaan atas gagal terima</t>
  </si>
  <si>
    <t>7. Perusahaan tidak dapat melakukan settle transaksi atas gagal terima Perusahaan Efek Lainnya</t>
  </si>
  <si>
    <t xml:space="preserve"> d. Risiko Pasar</t>
  </si>
  <si>
    <t>1. Perusahaan mengalami kerugian atas kepemilikan Portofolio</t>
  </si>
  <si>
    <t xml:space="preserve"> e. Risiko Kepatuhan</t>
  </si>
  <si>
    <t>1. Jumlah Sanksi yang diberikan</t>
  </si>
  <si>
    <t>1. Frekuensi dan Jenis Pengaduan</t>
  </si>
  <si>
    <t>2. Frekuensi, jenis, dampak Pemberitaan negatif dan media yang digunakan.</t>
  </si>
  <si>
    <t xml:space="preserve"> g. Risiko Hukum</t>
  </si>
  <si>
    <t>1. Perusahaan menerima gugatan / litigasi</t>
  </si>
  <si>
    <t>2. Perusahaan memiliki Perjanjian dengan Kelemahan Perikatan</t>
  </si>
  <si>
    <t>3. Ketiadaan Peraturan Perundang-undangan</t>
  </si>
  <si>
    <t>Peringkat Komponen Risiko Inheren</t>
  </si>
  <si>
    <t>Peringkat Komponen Manajemen Risiko</t>
  </si>
  <si>
    <t>Rata-rata Risiko Operasional</t>
  </si>
  <si>
    <t>Rata-rata Risiko Operasional (Pembulatan)</t>
  </si>
  <si>
    <t>Rata-rata Risiko kredit</t>
  </si>
  <si>
    <t>Rata-rata Risiko kredit (Pembulatan)</t>
  </si>
  <si>
    <t>Rata-rata Risiko Likuiditas</t>
  </si>
  <si>
    <t>Rata-rata Risiko Likuiditas (Pembulatan)</t>
  </si>
  <si>
    <t>Risiko Pasar</t>
  </si>
  <si>
    <t>Risiko Kepatuhan</t>
  </si>
  <si>
    <t>Risiko Reputasi (Market Conduct)</t>
  </si>
  <si>
    <t>Rata-rata Risiko Reputasi</t>
  </si>
  <si>
    <t>Rata-rata Risiko Reputasi (Pembulatan)</t>
  </si>
  <si>
    <t>Risiko Hukum</t>
  </si>
  <si>
    <t>Rata-rata Risiko Hukum</t>
  </si>
  <si>
    <t>Rata-rata Risiko Hukum (Pembulatan)</t>
  </si>
  <si>
    <t>Rata-rata MR Operasional</t>
  </si>
  <si>
    <t>Rata-rata MR Operasional (Pembulatan)</t>
  </si>
  <si>
    <t>Rata-rata MR kredit</t>
  </si>
  <si>
    <t>Rata-rata MR kredit (Pembulatan)</t>
  </si>
  <si>
    <t>Rata-rata MR Likuiditas</t>
  </si>
  <si>
    <t>Rata-rata MR Likuiditas (Pembulatan)</t>
  </si>
  <si>
    <t>Rata-rata MR Reputasi</t>
  </si>
  <si>
    <t>Rata-rata MR Reputasi (Pembulatan)</t>
  </si>
  <si>
    <t>Rata-rata MR Hukum</t>
  </si>
  <si>
    <t>Rata-rata MR Hukum (Pembulatan)</t>
  </si>
  <si>
    <t>Nilai RM PE (Pembulatan)</t>
  </si>
  <si>
    <t>I</t>
  </si>
  <si>
    <t>II</t>
  </si>
  <si>
    <t>III</t>
  </si>
  <si>
    <t>Nilai Profil Risiko PE</t>
  </si>
  <si>
    <t>Nilai Risiko Inheran PE</t>
  </si>
  <si>
    <t>Nilai Risiko Inheren PE (Pembulatan)</t>
  </si>
  <si>
    <t>Nilai MR PE</t>
  </si>
  <si>
    <t>Parameter Risiko Likuiditas</t>
  </si>
  <si>
    <t>Parameter Risiko Kredit</t>
  </si>
  <si>
    <t>Parameter Risiko Operasional</t>
  </si>
  <si>
    <t>Parameter Risiko Hukum</t>
  </si>
  <si>
    <t>Parameter MR Operasional</t>
  </si>
  <si>
    <t>Parameter Risiko Stratejik</t>
  </si>
  <si>
    <t>Rata-rata Risiko Stratejik</t>
  </si>
  <si>
    <t>Rata-rata Risiko Pembulatan</t>
  </si>
  <si>
    <t>Parameter MR Stratejik</t>
  </si>
  <si>
    <t>Rata-rata MR Stratejik</t>
  </si>
  <si>
    <t>Rata-rata MR Stratejik (pembulatan)</t>
  </si>
  <si>
    <t>Parameter MR Pasar</t>
  </si>
  <si>
    <t>Parameter MR Kepatuhan</t>
  </si>
  <si>
    <t>Parameter MR Reputasi</t>
  </si>
  <si>
    <r>
      <t xml:space="preserve">Kesimpulan : 
</t>
    </r>
    <r>
      <rPr>
        <b/>
        <sz val="9"/>
        <color rgb="FF0000FF"/>
        <rFont val="Bookman Old Style"/>
        <charset val="134"/>
      </rPr>
      <t/>
    </r>
  </si>
  <si>
    <t>1. Kesesuaian Strategi dengan Kondisi Lingkungan Bisnis</t>
  </si>
  <si>
    <t>2. Strategic Positioning Perusahaan Efek di Industri Perusahaan Efek</t>
  </si>
  <si>
    <t>3. Strategi berisiko rendah dan Strategi berisiko tinggi</t>
  </si>
  <si>
    <t>4. Pencapaian Realisasi Bisnis Perusahaan Efek</t>
  </si>
  <si>
    <t>Profil Risiko</t>
  </si>
  <si>
    <t>Peringkat Profil Risiko</t>
  </si>
  <si>
    <t>Risiko Inheren</t>
  </si>
  <si>
    <t>Parameter</t>
  </si>
  <si>
    <t>RISIKO STRATEGIS</t>
  </si>
  <si>
    <t>RISIKO REPUTASI</t>
  </si>
  <si>
    <t xml:space="preserve"> f. Risiko Reputasi </t>
  </si>
  <si>
    <t>h. Risiko Strategis</t>
  </si>
  <si>
    <t>Perusahaan Efek mempunyai izin PPE, PEE</t>
  </si>
  <si>
    <t>Perusahaan Efek mempunyai izin PPE/ PEE atau PPE/ PEE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</si>
</sst>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quot;Rp&quot;#,##0_);[Red]\(&quot;Rp&quot;#,##0\)"/>
    <numFmt numFmtId="165" formatCode="0.0000000"/>
    <numFmt numFmtId="166" formatCode="0.00000"/>
    <numFmt numFmtId="167" formatCode="_(* #,##0_);_(* \(#,##0\);_(* &quot;-&quot;??_);_(@_)"/>
    <numFmt numFmtId="168" formatCode="0.0%"/>
  </numFmts>
  <fonts count="45">
    <font>
      <sz val="11"/>
      <color theme="1"/>
      <name val="Calibri"/>
      <charset val="1"/>
      <scheme val="minor"/>
    </font>
    <font>
      <b/>
      <sz val="11"/>
      <color theme="0"/>
      <name val="Calibri"/>
      <charset val="134"/>
      <scheme val="minor"/>
    </font>
    <font>
      <sz val="16"/>
      <color rgb="FF000000"/>
      <name val="Arial"/>
      <charset val="134"/>
    </font>
    <font>
      <b/>
      <sz val="16"/>
      <color rgb="FF000000"/>
      <name val="Arial"/>
      <charset val="134"/>
    </font>
    <font>
      <b/>
      <sz val="36"/>
      <color rgb="FF000000"/>
      <name val="Arial"/>
      <charset val="134"/>
    </font>
    <font>
      <b/>
      <sz val="16"/>
      <color theme="0"/>
      <name val="Arial"/>
      <charset val="134"/>
    </font>
    <font>
      <sz val="14"/>
      <color rgb="FF000000"/>
      <name val="Arial"/>
      <charset val="134"/>
    </font>
    <font>
      <sz val="14"/>
      <color theme="1"/>
      <name val="Arial"/>
      <charset val="134"/>
    </font>
    <font>
      <sz val="10"/>
      <color rgb="FF000000"/>
      <name val="Arial"/>
      <charset val="134"/>
    </font>
    <font>
      <b/>
      <sz val="18"/>
      <color theme="1"/>
      <name val="Bookman Old Style"/>
      <charset val="134"/>
    </font>
    <font>
      <b/>
      <sz val="10"/>
      <color theme="1"/>
      <name val="Bookman Old Style"/>
      <charset val="134"/>
    </font>
    <font>
      <b/>
      <sz val="11"/>
      <color theme="1"/>
      <name val="Bookman Old Style"/>
      <charset val="134"/>
    </font>
    <font>
      <sz val="10"/>
      <color theme="1"/>
      <name val="Bookman Old Style"/>
      <charset val="134"/>
    </font>
    <font>
      <sz val="11"/>
      <color theme="1"/>
      <name val="Bookman Old Style"/>
      <charset val="134"/>
    </font>
    <font>
      <b/>
      <sz val="9"/>
      <color theme="1"/>
      <name val="Bookman Old Style"/>
      <charset val="134"/>
    </font>
    <font>
      <sz val="10"/>
      <color theme="1"/>
      <name val="Calibri"/>
      <charset val="134"/>
      <scheme val="minor"/>
    </font>
    <font>
      <b/>
      <sz val="11"/>
      <color theme="1"/>
      <name val="Calibri"/>
      <charset val="134"/>
      <scheme val="minor"/>
    </font>
    <font>
      <sz val="10"/>
      <name val="Bookman Old Style"/>
      <charset val="134"/>
    </font>
    <font>
      <sz val="28"/>
      <color rgb="FF0000FF"/>
      <name val="Calibri"/>
      <charset val="134"/>
    </font>
    <font>
      <sz val="24"/>
      <color rgb="FF0000FF"/>
      <name val="Bookman Old Style"/>
      <charset val="134"/>
    </font>
    <font>
      <i/>
      <sz val="11"/>
      <color theme="1"/>
      <name val="Bookman Old Style"/>
      <charset val="134"/>
    </font>
    <font>
      <sz val="9"/>
      <color theme="1"/>
      <name val="Symbol"/>
      <charset val="2"/>
    </font>
    <font>
      <sz val="20"/>
      <color rgb="FF0000FF"/>
      <name val="Bookman Old Style"/>
      <charset val="134"/>
    </font>
    <font>
      <sz val="26"/>
      <color rgb="FF0000FF"/>
      <name val="Bookman Old Style"/>
      <charset val="134"/>
    </font>
    <font>
      <sz val="18"/>
      <color rgb="FF0000FF"/>
      <name val="Bookman Old Style"/>
      <charset val="134"/>
    </font>
    <font>
      <sz val="16"/>
      <color theme="1"/>
      <name val="Calibri"/>
      <charset val="1"/>
      <scheme val="minor"/>
    </font>
    <font>
      <sz val="10"/>
      <color rgb="FFFF0000"/>
      <name val="Bookman Old Style"/>
      <charset val="134"/>
    </font>
    <font>
      <b/>
      <sz val="16"/>
      <color theme="1"/>
      <name val="Bookman Old Style"/>
      <charset val="134"/>
    </font>
    <font>
      <sz val="9"/>
      <color theme="1"/>
      <name val="Bookman Old Style"/>
      <charset val="134"/>
    </font>
    <font>
      <b/>
      <sz val="20"/>
      <color theme="1"/>
      <name val="Bookman Old Style"/>
      <charset val="134"/>
    </font>
    <font>
      <b/>
      <sz val="14"/>
      <color theme="1"/>
      <name val="Bookman Old Style"/>
      <charset val="134"/>
    </font>
    <font>
      <i/>
      <sz val="9"/>
      <color theme="1"/>
      <name val="Bookman Old Style"/>
      <charset val="134"/>
    </font>
    <font>
      <sz val="11"/>
      <color theme="1"/>
      <name val="Calibri"/>
      <charset val="134"/>
      <scheme val="minor"/>
    </font>
    <font>
      <b/>
      <i/>
      <sz val="10"/>
      <color theme="1"/>
      <name val="Bookman Old Style"/>
      <charset val="134"/>
    </font>
    <font>
      <b/>
      <sz val="9"/>
      <color rgb="FF0000FF"/>
      <name val="Bookman Old Style"/>
      <charset val="134"/>
    </font>
    <font>
      <i/>
      <sz val="10"/>
      <color theme="1"/>
      <name val="Bookman Old Style"/>
      <charset val="134"/>
    </font>
    <font>
      <b/>
      <sz val="7"/>
      <color theme="1"/>
      <name val="Bookman Old Style"/>
      <charset val="134"/>
    </font>
    <font>
      <sz val="7"/>
      <color theme="1"/>
      <name val="Bookman Old Style"/>
      <charset val="134"/>
    </font>
    <font>
      <b/>
      <i/>
      <sz val="9"/>
      <color theme="1"/>
      <name val="Bookman Old Style"/>
      <charset val="134"/>
    </font>
    <font>
      <sz val="11"/>
      <color theme="1"/>
      <name val="Calibri"/>
      <charset val="1"/>
      <scheme val="minor"/>
    </font>
    <font>
      <b/>
      <sz val="18"/>
      <color theme="1"/>
      <name val="Bookman Old Style"/>
      <family val="1"/>
    </font>
    <font>
      <sz val="10"/>
      <color rgb="FF000000"/>
      <name val="Arial"/>
      <family val="2"/>
    </font>
    <font>
      <sz val="11"/>
      <color theme="1"/>
      <name val="Arial"/>
      <family val="2"/>
    </font>
    <font>
      <sz val="10"/>
      <name val="Bookman Old Style"/>
      <family val="1"/>
    </font>
    <font>
      <sz val="9"/>
      <color theme="1"/>
      <name val="Bookman Old Style"/>
      <family val="1"/>
    </font>
  </fonts>
  <fills count="20">
    <fill>
      <patternFill patternType="none"/>
    </fill>
    <fill>
      <patternFill patternType="gray125"/>
    </fill>
    <fill>
      <patternFill patternType="solid">
        <fgColor theme="1" tint="0.14996795556505021"/>
        <bgColor indexed="64"/>
      </patternFill>
    </fill>
    <fill>
      <patternFill patternType="solid">
        <fgColor rgb="FF00B050"/>
        <bgColor indexed="64"/>
      </patternFill>
    </fill>
    <fill>
      <patternFill patternType="solid">
        <fgColor rgb="FF92D050"/>
        <bgColor indexed="64"/>
      </patternFill>
    </fill>
    <fill>
      <patternFill patternType="solid">
        <fgColor theme="7" tint="0.39994506668294322"/>
        <bgColor indexed="64"/>
      </patternFill>
    </fill>
    <fill>
      <patternFill patternType="solid">
        <fgColor rgb="FF00B0F0"/>
        <bgColor indexed="64"/>
      </patternFill>
    </fill>
    <fill>
      <patternFill patternType="solid">
        <fgColor rgb="FFA8D08D"/>
        <bgColor indexed="64"/>
      </patternFill>
    </fill>
    <fill>
      <patternFill patternType="solid">
        <fgColor rgb="FFFFFF00"/>
        <bgColor indexed="64"/>
      </patternFill>
    </fill>
    <fill>
      <patternFill patternType="solid">
        <fgColor rgb="FFC45911"/>
        <bgColor indexed="64"/>
      </patternFill>
    </fill>
    <fill>
      <patternFill patternType="solid">
        <fgColor rgb="FFFF0000"/>
        <bgColor indexed="64"/>
      </patternFill>
    </fill>
    <fill>
      <patternFill patternType="solid">
        <fgColor rgb="FFFFFFFF"/>
        <bgColor indexed="64"/>
      </patternFill>
    </fill>
    <fill>
      <patternFill patternType="solid">
        <fgColor theme="4" tint="0.79995117038483843"/>
        <bgColor indexed="64"/>
      </patternFill>
    </fill>
    <fill>
      <patternFill patternType="solid">
        <fgColor theme="1"/>
        <bgColor indexed="64"/>
      </patternFill>
    </fill>
    <fill>
      <patternFill patternType="solid">
        <fgColor theme="0"/>
        <bgColor indexed="64"/>
      </patternFill>
    </fill>
    <fill>
      <patternFill patternType="solid">
        <fgColor theme="2" tint="-0.749992370372631"/>
        <bgColor indexed="64"/>
      </patternFill>
    </fill>
    <fill>
      <patternFill patternType="solid">
        <fgColor theme="4" tint="0.59999389629810485"/>
        <bgColor indexed="64"/>
      </patternFill>
    </fill>
    <fill>
      <patternFill patternType="solid">
        <fgColor rgb="FF404040"/>
        <bgColor indexed="64"/>
      </patternFill>
    </fill>
    <fill>
      <patternFill patternType="solid">
        <fgColor theme="1" tint="0.249977111117893"/>
        <bgColor indexed="64"/>
      </patternFill>
    </fill>
    <fill>
      <patternFill patternType="solid">
        <fgColor theme="7" tint="0.39997558519241921"/>
        <bgColor indexed="64"/>
      </patternFill>
    </fill>
  </fills>
  <borders count="66">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style="thin">
        <color auto="1"/>
      </top>
      <bottom style="thin">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medium">
        <color auto="1"/>
      </left>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style="thin">
        <color auto="1"/>
      </right>
      <top/>
      <bottom style="medium">
        <color auto="1"/>
      </bottom>
      <diagonal/>
    </border>
    <border>
      <left/>
      <right style="medium">
        <color auto="1"/>
      </right>
      <top/>
      <bottom style="thin">
        <color auto="1"/>
      </bottom>
      <diagonal/>
    </border>
    <border>
      <left style="thin">
        <color auto="1"/>
      </left>
      <right style="medium">
        <color auto="1"/>
      </right>
      <top/>
      <bottom/>
      <diagonal/>
    </border>
    <border>
      <left style="thin">
        <color auto="1"/>
      </left>
      <right style="medium">
        <color auto="1"/>
      </right>
      <top/>
      <bottom style="medium">
        <color auto="1"/>
      </bottom>
      <diagonal/>
    </border>
    <border>
      <left style="thin">
        <color auto="1"/>
      </left>
      <right/>
      <top style="medium">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top style="thin">
        <color auto="1"/>
      </top>
      <bottom/>
      <diagonal/>
    </border>
    <border>
      <left style="thin">
        <color auto="1"/>
      </left>
      <right/>
      <top style="medium">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style="thin">
        <color auto="1"/>
      </top>
      <bottom style="thin">
        <color auto="1"/>
      </bottom>
      <diagonal/>
    </border>
  </borders>
  <cellStyleXfs count="6">
    <xf numFmtId="0" fontId="0" fillId="0" borderId="0"/>
    <xf numFmtId="43" fontId="39" fillId="0" borderId="0" applyFont="0" applyFill="0" applyBorder="0" applyAlignment="0" applyProtection="0"/>
    <xf numFmtId="9" fontId="39" fillId="0" borderId="0" applyFont="0" applyFill="0" applyBorder="0" applyAlignment="0" applyProtection="0"/>
    <xf numFmtId="0" fontId="32" fillId="0" borderId="0"/>
    <xf numFmtId="0" fontId="32" fillId="0" borderId="0"/>
    <xf numFmtId="0" fontId="32" fillId="0" borderId="0"/>
  </cellStyleXfs>
  <cellXfs count="766">
    <xf numFmtId="0" fontId="0" fillId="0" borderId="0" xfId="0"/>
    <xf numFmtId="0" fontId="0" fillId="0" borderId="0" xfId="0" applyFill="1"/>
    <xf numFmtId="0" fontId="2" fillId="0" borderId="0" xfId="0" applyFont="1" applyFill="1" applyBorder="1" applyAlignment="1"/>
    <xf numFmtId="0" fontId="0" fillId="0" borderId="0" xfId="0" applyFont="1" applyFill="1" applyBorder="1" applyAlignment="1"/>
    <xf numFmtId="0" fontId="3" fillId="0" borderId="0" xfId="0" applyFont="1" applyFill="1" applyBorder="1" applyAlignment="1">
      <alignment vertical="center"/>
    </xf>
    <xf numFmtId="0" fontId="3" fillId="0" borderId="0" xfId="0" applyFont="1" applyFill="1" applyBorder="1" applyAlignment="1">
      <alignment horizontal="left" vertical="center"/>
    </xf>
    <xf numFmtId="3" fontId="4" fillId="0" borderId="0" xfId="0" applyNumberFormat="1" applyFont="1" applyFill="1" applyBorder="1" applyAlignment="1">
      <alignment horizontal="center" vertical="center"/>
    </xf>
    <xf numFmtId="0" fontId="6" fillId="4" borderId="0" xfId="0" applyFont="1" applyFill="1" applyBorder="1" applyAlignment="1">
      <alignment vertical="center"/>
    </xf>
    <xf numFmtId="2" fontId="6" fillId="4" borderId="0" xfId="0" applyNumberFormat="1" applyFont="1" applyFill="1" applyBorder="1" applyAlignment="1">
      <alignment vertical="center"/>
    </xf>
    <xf numFmtId="166" fontId="7" fillId="4" borderId="0" xfId="0" applyNumberFormat="1" applyFont="1" applyFill="1" applyBorder="1" applyAlignment="1">
      <alignment horizontal="right" vertical="center"/>
    </xf>
    <xf numFmtId="0" fontId="8" fillId="5" borderId="0" xfId="0" applyFont="1" applyFill="1" applyBorder="1" applyAlignment="1">
      <alignment horizontal="left"/>
    </xf>
    <xf numFmtId="2" fontId="0" fillId="5" borderId="0" xfId="0" applyNumberFormat="1" applyFont="1" applyFill="1" applyBorder="1" applyAlignment="1"/>
    <xf numFmtId="2" fontId="0" fillId="5" borderId="0" xfId="0" applyNumberFormat="1" applyFont="1" applyFill="1" applyBorder="1" applyAlignment="1">
      <alignment horizontal="right"/>
    </xf>
    <xf numFmtId="0" fontId="8" fillId="0" borderId="0" xfId="0" applyFont="1" applyFill="1" applyBorder="1" applyAlignment="1">
      <alignment horizontal="left"/>
    </xf>
    <xf numFmtId="0" fontId="8" fillId="0" borderId="0" xfId="0" applyFont="1" applyFill="1" applyBorder="1" applyAlignment="1"/>
    <xf numFmtId="2" fontId="8" fillId="5" borderId="0" xfId="0" applyNumberFormat="1" applyFont="1" applyFill="1" applyBorder="1" applyAlignment="1"/>
    <xf numFmtId="0" fontId="10" fillId="0" borderId="7"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8" xfId="0" applyFont="1" applyBorder="1" applyAlignment="1">
      <alignment horizontal="center" vertical="center" wrapText="1"/>
    </xf>
    <xf numFmtId="0" fontId="12" fillId="0" borderId="14" xfId="0" applyFont="1" applyFill="1" applyBorder="1" applyAlignment="1">
      <alignment horizontal="center" vertical="center" wrapText="1"/>
    </xf>
    <xf numFmtId="0" fontId="12" fillId="0" borderId="17" xfId="0" applyFont="1" applyFill="1" applyBorder="1" applyAlignment="1">
      <alignment horizontal="center" vertical="center" wrapText="1"/>
    </xf>
    <xf numFmtId="0" fontId="10" fillId="7" borderId="17" xfId="0" applyFont="1" applyFill="1" applyBorder="1" applyAlignment="1">
      <alignment horizontal="center" vertical="center" wrapText="1"/>
    </xf>
    <xf numFmtId="0" fontId="10" fillId="9" borderId="17" xfId="0" applyFont="1" applyFill="1" applyBorder="1" applyAlignment="1">
      <alignment horizontal="center" vertical="center" wrapText="1"/>
    </xf>
    <xf numFmtId="0" fontId="10" fillId="10" borderId="20" xfId="0" applyFont="1" applyFill="1" applyBorder="1" applyAlignment="1">
      <alignment horizontal="center" vertical="center" wrapText="1"/>
    </xf>
    <xf numFmtId="0" fontId="12" fillId="0" borderId="20" xfId="0" applyFont="1" applyFill="1" applyBorder="1" applyAlignment="1">
      <alignment horizontal="center" vertical="center" wrapText="1"/>
    </xf>
    <xf numFmtId="0" fontId="12" fillId="0" borderId="20" xfId="0" applyFont="1" applyFill="1" applyBorder="1" applyAlignment="1">
      <alignment vertical="center" wrapText="1"/>
    </xf>
    <xf numFmtId="0" fontId="12" fillId="0" borderId="17" xfId="0" applyFont="1" applyFill="1" applyBorder="1" applyAlignment="1">
      <alignment horizontal="center" vertical="center"/>
    </xf>
    <xf numFmtId="0" fontId="12" fillId="11" borderId="17" xfId="0" applyFont="1" applyFill="1" applyBorder="1" applyAlignment="1">
      <alignment vertical="top" wrapText="1"/>
    </xf>
    <xf numFmtId="0" fontId="12" fillId="0" borderId="17" xfId="0" applyFont="1" applyFill="1" applyBorder="1" applyAlignment="1">
      <alignment vertical="top" wrapText="1"/>
    </xf>
    <xf numFmtId="0" fontId="12" fillId="0" borderId="20" xfId="0" applyFont="1" applyFill="1" applyBorder="1" applyAlignment="1">
      <alignment horizontal="center" vertical="center"/>
    </xf>
    <xf numFmtId="0" fontId="0" fillId="0" borderId="0" xfId="0" applyBorder="1"/>
    <xf numFmtId="0" fontId="10" fillId="0" borderId="4" xfId="0" applyFont="1" applyBorder="1" applyAlignment="1">
      <alignment horizontal="center" vertical="center" wrapText="1"/>
    </xf>
    <xf numFmtId="0" fontId="10" fillId="0" borderId="28" xfId="0" applyFont="1" applyBorder="1" applyAlignment="1">
      <alignment horizontal="center" vertical="center" wrapText="1"/>
    </xf>
    <xf numFmtId="0" fontId="10" fillId="0" borderId="5" xfId="0" applyFont="1" applyFill="1" applyBorder="1" applyAlignment="1">
      <alignment horizontal="center" vertical="center" wrapText="1"/>
    </xf>
    <xf numFmtId="0" fontId="0" fillId="0" borderId="0" xfId="0" applyFill="1" applyBorder="1"/>
    <xf numFmtId="0" fontId="12" fillId="11" borderId="18" xfId="0" applyFont="1" applyFill="1" applyBorder="1" applyAlignment="1">
      <alignment vertical="top" wrapText="1"/>
    </xf>
    <xf numFmtId="0" fontId="12" fillId="11" borderId="15" xfId="0" applyFont="1" applyFill="1" applyBorder="1" applyAlignment="1">
      <alignment vertical="top" wrapText="1"/>
    </xf>
    <xf numFmtId="0" fontId="0" fillId="0" borderId="0" xfId="0" applyBorder="1" applyAlignment="1">
      <alignment wrapText="1"/>
    </xf>
    <xf numFmtId="0" fontId="0" fillId="0" borderId="0" xfId="0" applyAlignment="1">
      <alignment vertical="center"/>
    </xf>
    <xf numFmtId="0" fontId="0" fillId="0" borderId="0" xfId="0" applyFill="1" applyAlignment="1">
      <alignment horizontal="center" vertical="center"/>
    </xf>
    <xf numFmtId="0" fontId="0" fillId="14" borderId="0" xfId="0" applyFill="1"/>
    <xf numFmtId="0" fontId="0" fillId="0" borderId="0" xfId="0" applyFill="1" applyAlignment="1">
      <alignment wrapText="1"/>
    </xf>
    <xf numFmtId="0" fontId="12" fillId="0" borderId="0" xfId="0" applyFont="1" applyFill="1" applyAlignment="1">
      <alignment wrapText="1"/>
    </xf>
    <xf numFmtId="0" fontId="0" fillId="0" borderId="0" xfId="0" applyAlignment="1">
      <alignment wrapText="1"/>
    </xf>
    <xf numFmtId="0" fontId="10" fillId="0" borderId="4" xfId="0" applyFont="1" applyBorder="1" applyAlignment="1">
      <alignment horizontal="center" vertical="center"/>
    </xf>
    <xf numFmtId="0" fontId="10" fillId="0" borderId="28" xfId="0" applyFont="1" applyBorder="1" applyAlignment="1">
      <alignment horizontal="center" vertical="center"/>
    </xf>
    <xf numFmtId="0" fontId="10" fillId="14" borderId="28" xfId="0" applyFont="1" applyFill="1" applyBorder="1" applyAlignment="1">
      <alignment horizontal="center" vertical="center"/>
    </xf>
    <xf numFmtId="0" fontId="10" fillId="0" borderId="5" xfId="0" applyFont="1" applyBorder="1" applyAlignment="1">
      <alignment horizontal="center" vertical="center"/>
    </xf>
    <xf numFmtId="0" fontId="10" fillId="14" borderId="5" xfId="0" applyFont="1" applyFill="1" applyBorder="1" applyAlignment="1">
      <alignment horizontal="center" vertical="center"/>
    </xf>
    <xf numFmtId="0" fontId="12" fillId="14" borderId="26" xfId="5" applyFont="1" applyFill="1" applyBorder="1" applyAlignment="1">
      <alignment horizontal="center" vertical="center"/>
    </xf>
    <xf numFmtId="0" fontId="10" fillId="14" borderId="43" xfId="0" applyFont="1" applyFill="1" applyBorder="1" applyAlignment="1">
      <alignment horizontal="center" vertical="center"/>
    </xf>
    <xf numFmtId="0" fontId="10" fillId="14" borderId="23" xfId="0" applyFont="1" applyFill="1" applyBorder="1" applyAlignment="1">
      <alignment horizontal="center" vertical="center"/>
    </xf>
    <xf numFmtId="0" fontId="12" fillId="0" borderId="23" xfId="5" applyFont="1" applyFill="1" applyBorder="1" applyAlignment="1">
      <alignment horizontal="left" vertical="center" wrapText="1"/>
    </xf>
    <xf numFmtId="0" fontId="10" fillId="14" borderId="26" xfId="0" applyFont="1" applyFill="1" applyBorder="1" applyAlignment="1">
      <alignment horizontal="center" vertical="center"/>
    </xf>
    <xf numFmtId="0" fontId="10" fillId="14" borderId="44" xfId="0" applyFont="1" applyFill="1" applyBorder="1" applyAlignment="1">
      <alignment horizontal="center" vertical="center"/>
    </xf>
    <xf numFmtId="0" fontId="16" fillId="0" borderId="0" xfId="0" applyFont="1" applyAlignment="1">
      <alignment vertical="center"/>
    </xf>
    <xf numFmtId="0" fontId="12" fillId="0" borderId="26" xfId="5" applyFont="1" applyFill="1" applyBorder="1" applyAlignment="1">
      <alignment vertical="center" wrapText="1"/>
    </xf>
    <xf numFmtId="0" fontId="12" fillId="14" borderId="14" xfId="5" applyFont="1" applyFill="1" applyBorder="1" applyAlignment="1">
      <alignment horizontal="center" vertical="center"/>
    </xf>
    <xf numFmtId="0" fontId="17" fillId="0" borderId="14" xfId="5" applyFont="1" applyFill="1" applyBorder="1" applyAlignment="1">
      <alignment vertical="center" wrapText="1"/>
    </xf>
    <xf numFmtId="0" fontId="12" fillId="14" borderId="17" xfId="5" applyFont="1" applyFill="1" applyBorder="1" applyAlignment="1">
      <alignment horizontal="center" vertical="center"/>
    </xf>
    <xf numFmtId="0" fontId="12" fillId="0" borderId="17" xfId="5" applyFont="1" applyFill="1" applyBorder="1" applyAlignment="1">
      <alignment vertical="center" wrapText="1"/>
    </xf>
    <xf numFmtId="0" fontId="12" fillId="0" borderId="17" xfId="0" applyFont="1" applyFill="1" applyBorder="1" applyAlignment="1">
      <alignment horizontal="left" vertical="center" wrapText="1"/>
    </xf>
    <xf numFmtId="0" fontId="12" fillId="0" borderId="26" xfId="0" applyFont="1" applyFill="1" applyBorder="1" applyAlignment="1">
      <alignment horizontal="left" vertical="center" wrapText="1"/>
    </xf>
    <xf numFmtId="0" fontId="20" fillId="0" borderId="0" xfId="0" applyFont="1" applyAlignment="1">
      <alignment horizontal="left" vertical="center" indent="1"/>
    </xf>
    <xf numFmtId="0" fontId="13" fillId="0" borderId="0" xfId="0" applyFont="1" applyAlignment="1">
      <alignment horizontal="left" vertical="center" indent="1"/>
    </xf>
    <xf numFmtId="0" fontId="10" fillId="0" borderId="6" xfId="0" applyFont="1" applyBorder="1" applyAlignment="1">
      <alignment horizontal="center" vertical="center"/>
    </xf>
    <xf numFmtId="0" fontId="21" fillId="0" borderId="0" xfId="0" applyFont="1" applyAlignment="1">
      <alignment horizontal="left" vertical="center" indent="1"/>
    </xf>
    <xf numFmtId="0" fontId="21" fillId="0" borderId="0" xfId="0" applyFont="1" applyAlignment="1">
      <alignment horizontal="justify" vertical="center"/>
    </xf>
    <xf numFmtId="0" fontId="12" fillId="11" borderId="46" xfId="5" applyFont="1" applyFill="1" applyBorder="1" applyAlignment="1">
      <alignment horizontal="center" vertical="center"/>
    </xf>
    <xf numFmtId="0" fontId="13" fillId="0" borderId="0" xfId="0" applyFont="1"/>
    <xf numFmtId="0" fontId="13" fillId="0" borderId="0" xfId="0" applyFont="1" applyAlignment="1">
      <alignment vertical="center"/>
    </xf>
    <xf numFmtId="0" fontId="17" fillId="0" borderId="17" xfId="5" applyFont="1" applyFill="1" applyBorder="1" applyAlignment="1">
      <alignment vertical="center" wrapText="1"/>
    </xf>
    <xf numFmtId="0" fontId="17" fillId="0" borderId="17" xfId="5" applyFont="1" applyFill="1" applyBorder="1" applyAlignment="1">
      <alignment horizontal="left" vertical="center" wrapText="1"/>
    </xf>
    <xf numFmtId="0" fontId="16" fillId="0" borderId="38" xfId="0" applyFont="1" applyBorder="1" applyAlignment="1">
      <alignment vertical="center"/>
    </xf>
    <xf numFmtId="0" fontId="0" fillId="0" borderId="33" xfId="0" applyBorder="1"/>
    <xf numFmtId="0" fontId="0" fillId="14" borderId="33" xfId="0" applyFill="1" applyBorder="1"/>
    <xf numFmtId="0" fontId="0" fillId="0" borderId="33" xfId="0" applyFill="1" applyBorder="1" applyAlignment="1">
      <alignment wrapText="1"/>
    </xf>
    <xf numFmtId="0" fontId="12" fillId="0" borderId="33" xfId="0" applyFont="1" applyFill="1" applyBorder="1" applyAlignment="1">
      <alignment wrapText="1"/>
    </xf>
    <xf numFmtId="0" fontId="12" fillId="0" borderId="17" xfId="5" applyFont="1" applyFill="1" applyBorder="1" applyAlignment="1">
      <alignment horizontal="left" vertical="center" wrapText="1"/>
    </xf>
    <xf numFmtId="0" fontId="12" fillId="0" borderId="17" xfId="0" applyFont="1" applyFill="1" applyBorder="1" applyAlignment="1">
      <alignment wrapText="1"/>
    </xf>
    <xf numFmtId="0" fontId="0" fillId="0" borderId="10" xfId="0" applyBorder="1"/>
    <xf numFmtId="0" fontId="12" fillId="0" borderId="10" xfId="0" applyFont="1" applyFill="1" applyBorder="1" applyAlignment="1">
      <alignment wrapText="1"/>
    </xf>
    <xf numFmtId="0" fontId="0" fillId="0" borderId="32" xfId="0" applyBorder="1" applyAlignment="1">
      <alignment vertical="center"/>
    </xf>
    <xf numFmtId="0" fontId="10" fillId="0" borderId="0" xfId="0" applyFont="1"/>
    <xf numFmtId="0" fontId="12" fillId="0" borderId="0" xfId="0" applyFont="1" applyAlignment="1">
      <alignment horizontal="center" vertical="center"/>
    </xf>
    <xf numFmtId="0" fontId="12" fillId="0" borderId="0" xfId="0" applyFont="1" applyAlignment="1">
      <alignment vertical="center"/>
    </xf>
    <xf numFmtId="0" fontId="12" fillId="14" borderId="0" xfId="0" applyFont="1" applyFill="1" applyAlignment="1">
      <alignment vertical="center"/>
    </xf>
    <xf numFmtId="0" fontId="12" fillId="0" borderId="0" xfId="0" applyFont="1"/>
    <xf numFmtId="0" fontId="12" fillId="0" borderId="38" xfId="3" applyFont="1" applyBorder="1" applyAlignment="1">
      <alignment vertical="top" wrapText="1"/>
    </xf>
    <xf numFmtId="0" fontId="12" fillId="0" borderId="33" xfId="3" applyFont="1" applyBorder="1" applyAlignment="1">
      <alignment vertical="top" wrapText="1"/>
    </xf>
    <xf numFmtId="0" fontId="10" fillId="0" borderId="5" xfId="0" applyFont="1" applyBorder="1" applyAlignment="1">
      <alignment horizontal="center" vertical="center" wrapText="1"/>
    </xf>
    <xf numFmtId="0" fontId="12" fillId="14" borderId="14" xfId="3" applyFont="1" applyFill="1" applyBorder="1" applyAlignment="1">
      <alignment vertical="center" wrapText="1"/>
    </xf>
    <xf numFmtId="0" fontId="17" fillId="11" borderId="14" xfId="3" applyFont="1" applyFill="1" applyBorder="1" applyAlignment="1">
      <alignment vertical="center" wrapText="1"/>
    </xf>
    <xf numFmtId="0" fontId="12" fillId="14" borderId="17" xfId="3" applyFont="1" applyFill="1" applyBorder="1" applyAlignment="1">
      <alignment vertical="center" wrapText="1"/>
    </xf>
    <xf numFmtId="0" fontId="12" fillId="11" borderId="17" xfId="3" applyFont="1" applyFill="1" applyBorder="1" applyAlignment="1">
      <alignment vertical="center" wrapText="1"/>
    </xf>
    <xf numFmtId="0" fontId="12" fillId="11" borderId="26" xfId="0" applyFont="1" applyFill="1" applyBorder="1" applyAlignment="1">
      <alignment horizontal="left" vertical="center" wrapText="1"/>
    </xf>
    <xf numFmtId="0" fontId="12" fillId="11" borderId="17" xfId="3" applyFont="1" applyFill="1" applyBorder="1" applyAlignment="1">
      <alignment horizontal="left" vertical="center" wrapText="1"/>
    </xf>
    <xf numFmtId="0" fontId="17" fillId="11" borderId="17" xfId="3" applyFont="1" applyFill="1" applyBorder="1" applyAlignment="1">
      <alignment vertical="center" wrapText="1"/>
    </xf>
    <xf numFmtId="0" fontId="17" fillId="11" borderId="17" xfId="3" applyFont="1" applyFill="1" applyBorder="1" applyAlignment="1">
      <alignment horizontal="left" vertical="center" wrapText="1"/>
    </xf>
    <xf numFmtId="0" fontId="12" fillId="14" borderId="20" xfId="3" applyFont="1" applyFill="1" applyBorder="1" applyAlignment="1">
      <alignment vertical="center" wrapText="1"/>
    </xf>
    <xf numFmtId="0" fontId="12" fillId="11" borderId="20" xfId="3" applyFont="1" applyFill="1" applyBorder="1" applyAlignment="1">
      <alignment vertical="center" wrapText="1"/>
    </xf>
    <xf numFmtId="0" fontId="12" fillId="0" borderId="17" xfId="0" applyFont="1" applyBorder="1" applyAlignment="1">
      <alignment vertical="center"/>
    </xf>
    <xf numFmtId="0" fontId="12" fillId="11" borderId="17" xfId="0" applyFont="1" applyFill="1" applyBorder="1" applyAlignment="1">
      <alignment horizontal="left" vertical="center" wrapText="1"/>
    </xf>
    <xf numFmtId="0" fontId="12" fillId="0" borderId="14" xfId="0" applyFont="1" applyBorder="1" applyAlignment="1">
      <alignment horizontal="left" vertical="center"/>
    </xf>
    <xf numFmtId="0" fontId="12" fillId="11" borderId="14" xfId="3" applyFont="1" applyFill="1" applyBorder="1" applyAlignment="1">
      <alignment horizontal="left" vertical="center" wrapText="1"/>
    </xf>
    <xf numFmtId="0" fontId="12" fillId="0" borderId="17" xfId="0" applyFont="1" applyBorder="1" applyAlignment="1">
      <alignment horizontal="left" vertical="center"/>
    </xf>
    <xf numFmtId="0" fontId="12" fillId="14" borderId="17" xfId="3" applyFont="1" applyFill="1" applyBorder="1" applyAlignment="1">
      <alignment horizontal="left" vertical="center" wrapText="1"/>
    </xf>
    <xf numFmtId="0" fontId="9" fillId="0" borderId="17" xfId="0" applyFont="1" applyBorder="1" applyAlignment="1">
      <alignment vertical="center"/>
    </xf>
    <xf numFmtId="0" fontId="12" fillId="0" borderId="17" xfId="0" applyFont="1" applyBorder="1"/>
    <xf numFmtId="0" fontId="12" fillId="15" borderId="17" xfId="3" applyFont="1" applyFill="1" applyBorder="1" applyAlignment="1">
      <alignment vertical="center" wrapText="1"/>
    </xf>
    <xf numFmtId="0" fontId="12" fillId="0" borderId="20" xfId="0" applyFont="1" applyBorder="1"/>
    <xf numFmtId="0" fontId="12" fillId="0" borderId="32" xfId="3" applyFont="1" applyBorder="1" applyAlignment="1">
      <alignment vertical="top" wrapText="1"/>
    </xf>
    <xf numFmtId="0" fontId="25" fillId="0" borderId="0" xfId="0" applyFont="1"/>
    <xf numFmtId="0" fontId="25" fillId="0" borderId="0" xfId="3" applyFont="1" applyAlignment="1">
      <alignment vertical="top"/>
    </xf>
    <xf numFmtId="0" fontId="12" fillId="11" borderId="18" xfId="3" applyFont="1" applyFill="1" applyBorder="1" applyAlignment="1">
      <alignment horizontal="left" vertical="top"/>
    </xf>
    <xf numFmtId="0" fontId="12" fillId="11" borderId="18" xfId="3" applyFont="1" applyFill="1" applyBorder="1" applyAlignment="1">
      <alignment vertical="top"/>
    </xf>
    <xf numFmtId="0" fontId="12" fillId="11" borderId="21" xfId="3" applyFont="1" applyFill="1" applyBorder="1" applyAlignment="1">
      <alignment vertical="top"/>
    </xf>
    <xf numFmtId="0" fontId="12" fillId="15" borderId="18" xfId="3" applyFont="1" applyFill="1" applyBorder="1" applyAlignment="1">
      <alignment vertical="top"/>
    </xf>
    <xf numFmtId="0" fontId="0" fillId="14" borderId="0" xfId="0" applyFill="1" applyAlignment="1">
      <alignment vertical="center"/>
    </xf>
    <xf numFmtId="0" fontId="0" fillId="0" borderId="0" xfId="0" applyFill="1" applyAlignment="1">
      <alignment vertical="center"/>
    </xf>
    <xf numFmtId="0" fontId="0" fillId="14" borderId="0" xfId="0" applyFill="1" applyAlignment="1">
      <alignment horizontal="center" vertical="center"/>
    </xf>
    <xf numFmtId="0" fontId="10" fillId="0" borderId="29" xfId="0" applyFont="1" applyBorder="1" applyAlignment="1">
      <alignment horizontal="center" vertical="center" wrapText="1"/>
    </xf>
    <xf numFmtId="0" fontId="10" fillId="0" borderId="43" xfId="0" applyFont="1" applyBorder="1" applyAlignment="1">
      <alignment horizontal="center" vertical="center" wrapText="1"/>
    </xf>
    <xf numFmtId="0" fontId="12" fillId="0" borderId="14" xfId="0" applyFont="1" applyFill="1" applyBorder="1" applyAlignment="1">
      <alignment horizontal="center" vertical="top" wrapText="1"/>
    </xf>
    <xf numFmtId="0" fontId="12" fillId="0" borderId="17" xfId="0" applyFont="1" applyFill="1" applyBorder="1" applyAlignment="1">
      <alignment horizontal="center" vertical="top" wrapText="1"/>
    </xf>
    <xf numFmtId="0" fontId="12" fillId="11" borderId="23" xfId="0" applyFont="1" applyFill="1" applyBorder="1" applyAlignment="1">
      <alignment horizontal="left" vertical="center" wrapText="1"/>
    </xf>
    <xf numFmtId="0" fontId="12" fillId="11" borderId="17" xfId="0" applyFont="1" applyFill="1" applyBorder="1" applyAlignment="1">
      <alignment horizontal="left" vertical="top" wrapText="1"/>
    </xf>
    <xf numFmtId="0" fontId="12" fillId="11" borderId="26" xfId="0" applyFont="1" applyFill="1" applyBorder="1" applyAlignment="1">
      <alignment horizontal="left" vertical="top" wrapText="1"/>
    </xf>
    <xf numFmtId="0" fontId="12" fillId="11" borderId="26" xfId="0" applyFont="1" applyFill="1" applyBorder="1" applyAlignment="1">
      <alignment horizontal="center" vertical="top" wrapText="1"/>
    </xf>
    <xf numFmtId="0" fontId="12" fillId="0" borderId="26" xfId="0" applyFont="1" applyFill="1" applyBorder="1" applyAlignment="1">
      <alignment horizontal="center" vertical="center" wrapText="1"/>
    </xf>
    <xf numFmtId="0" fontId="12" fillId="0" borderId="20" xfId="0" applyFont="1" applyFill="1" applyBorder="1" applyAlignment="1">
      <alignment horizontal="center" vertical="top" wrapText="1"/>
    </xf>
    <xf numFmtId="0" fontId="12" fillId="11" borderId="20" xfId="0" applyFont="1" applyFill="1" applyBorder="1" applyAlignment="1">
      <alignment horizontal="left" vertical="top" wrapText="1"/>
    </xf>
    <xf numFmtId="0" fontId="10" fillId="0" borderId="46" xfId="0" applyFont="1" applyBorder="1" applyAlignment="1">
      <alignment horizontal="center" vertical="center" wrapText="1"/>
    </xf>
    <xf numFmtId="0" fontId="12" fillId="11" borderId="14" xfId="0" applyFont="1" applyFill="1" applyBorder="1" applyAlignment="1">
      <alignment horizontal="left" vertical="top" wrapText="1"/>
    </xf>
    <xf numFmtId="0" fontId="12" fillId="11" borderId="15" xfId="0" applyFont="1" applyFill="1" applyBorder="1" applyAlignment="1">
      <alignment horizontal="left" vertical="top" wrapText="1"/>
    </xf>
    <xf numFmtId="0" fontId="12" fillId="11" borderId="18" xfId="0" applyFont="1" applyFill="1" applyBorder="1" applyAlignment="1">
      <alignment horizontal="center" vertical="top" wrapText="1"/>
    </xf>
    <xf numFmtId="0" fontId="12" fillId="11" borderId="18" xfId="0" applyFont="1" applyFill="1" applyBorder="1" applyAlignment="1">
      <alignment horizontal="left" vertical="top" wrapText="1"/>
    </xf>
    <xf numFmtId="0" fontId="12" fillId="11" borderId="17" xfId="0" applyFont="1" applyFill="1" applyBorder="1" applyAlignment="1">
      <alignment vertical="center" wrapText="1"/>
    </xf>
    <xf numFmtId="0" fontId="12" fillId="11" borderId="27" xfId="0" applyFont="1" applyFill="1" applyBorder="1" applyAlignment="1">
      <alignment horizontal="left" vertical="top" wrapText="1"/>
    </xf>
    <xf numFmtId="0" fontId="12" fillId="11" borderId="46" xfId="0" applyFont="1" applyFill="1" applyBorder="1" applyAlignment="1">
      <alignment horizontal="center" vertical="top" wrapText="1"/>
    </xf>
    <xf numFmtId="0" fontId="12" fillId="14" borderId="26" xfId="0" applyFont="1" applyFill="1" applyBorder="1" applyAlignment="1">
      <alignment horizontal="left" vertical="center" wrapText="1"/>
    </xf>
    <xf numFmtId="0" fontId="12" fillId="0" borderId="14" xfId="0" applyFont="1" applyFill="1" applyBorder="1" applyAlignment="1">
      <alignment horizontal="left" vertical="center" wrapText="1"/>
    </xf>
    <xf numFmtId="0" fontId="12" fillId="11" borderId="14" xfId="0" applyFont="1" applyFill="1" applyBorder="1" applyAlignment="1">
      <alignment horizontal="left" vertical="center" wrapText="1"/>
    </xf>
    <xf numFmtId="0" fontId="12" fillId="0" borderId="20" xfId="0" applyFont="1" applyFill="1" applyBorder="1" applyAlignment="1">
      <alignment horizontal="left" vertical="center" wrapText="1"/>
    </xf>
    <xf numFmtId="0" fontId="12" fillId="11" borderId="20" xfId="0" applyFont="1" applyFill="1" applyBorder="1" applyAlignment="1">
      <alignment horizontal="left" vertical="center" wrapText="1"/>
    </xf>
    <xf numFmtId="0" fontId="12" fillId="11" borderId="46" xfId="0" applyFont="1" applyFill="1" applyBorder="1" applyAlignment="1">
      <alignment horizontal="center" vertical="center" wrapText="1"/>
    </xf>
    <xf numFmtId="0" fontId="12" fillId="11" borderId="18" xfId="0" applyFont="1" applyFill="1" applyBorder="1" applyAlignment="1">
      <alignment horizontal="left" vertical="center" wrapText="1"/>
    </xf>
    <xf numFmtId="0" fontId="0" fillId="0" borderId="0" xfId="0" applyAlignment="1">
      <alignment horizontal="center"/>
    </xf>
    <xf numFmtId="0" fontId="0" fillId="0" borderId="0" xfId="0" applyFill="1" applyAlignment="1">
      <alignment horizontal="center"/>
    </xf>
    <xf numFmtId="0" fontId="0" fillId="0" borderId="0" xfId="0" applyAlignment="1">
      <alignment horizontal="left" vertical="top" wrapText="1"/>
    </xf>
    <xf numFmtId="0" fontId="12" fillId="0" borderId="14" xfId="0" applyFont="1" applyFill="1" applyBorder="1" applyAlignment="1">
      <alignment horizontal="center" vertical="center"/>
    </xf>
    <xf numFmtId="0" fontId="12" fillId="0" borderId="26" xfId="0" applyFont="1" applyFill="1" applyBorder="1" applyAlignment="1">
      <alignment horizontal="center" vertical="center"/>
    </xf>
    <xf numFmtId="0" fontId="10" fillId="7" borderId="17" xfId="0" applyFont="1" applyFill="1" applyBorder="1" applyAlignment="1">
      <alignment horizontal="center" vertical="center"/>
    </xf>
    <xf numFmtId="0" fontId="10" fillId="8" borderId="17" xfId="0" applyFont="1" applyFill="1" applyBorder="1" applyAlignment="1">
      <alignment horizontal="center" vertical="center"/>
    </xf>
    <xf numFmtId="0" fontId="10" fillId="9" borderId="17" xfId="0" applyFont="1" applyFill="1" applyBorder="1" applyAlignment="1">
      <alignment horizontal="center" vertical="center"/>
    </xf>
    <xf numFmtId="0" fontId="10" fillId="10" borderId="20" xfId="0" applyFont="1" applyFill="1" applyBorder="1" applyAlignment="1">
      <alignment horizontal="center" vertical="center"/>
    </xf>
    <xf numFmtId="10" fontId="13" fillId="0" borderId="0" xfId="2" applyNumberFormat="1" applyFont="1" applyAlignment="1">
      <alignment horizontal="right" vertical="top"/>
    </xf>
    <xf numFmtId="0" fontId="13" fillId="0" borderId="0" xfId="0" applyFont="1" applyBorder="1" applyAlignment="1">
      <alignment wrapText="1"/>
    </xf>
    <xf numFmtId="0" fontId="13" fillId="0" borderId="0" xfId="0" applyFont="1" applyBorder="1" applyAlignment="1">
      <alignment horizontal="center"/>
    </xf>
    <xf numFmtId="0" fontId="13" fillId="0" borderId="0" xfId="0" applyFont="1" applyFill="1" applyBorder="1" applyAlignment="1">
      <alignment horizontal="center"/>
    </xf>
    <xf numFmtId="0" fontId="13" fillId="0" borderId="0" xfId="0" applyFont="1" applyBorder="1" applyAlignment="1">
      <alignment horizontal="left" vertical="top" wrapText="1"/>
    </xf>
    <xf numFmtId="0" fontId="12" fillId="0" borderId="0" xfId="0" applyFont="1" applyBorder="1" applyAlignment="1">
      <alignment horizontal="left" vertical="top"/>
    </xf>
    <xf numFmtId="0" fontId="14" fillId="0" borderId="7" xfId="0" applyFont="1" applyBorder="1" applyAlignment="1">
      <alignment horizontal="center" vertical="center" wrapText="1"/>
    </xf>
    <xf numFmtId="0" fontId="14" fillId="0" borderId="12" xfId="0" applyFont="1" applyBorder="1" applyAlignment="1">
      <alignment horizontal="center" vertical="center" wrapText="1"/>
    </xf>
    <xf numFmtId="0" fontId="14" fillId="0" borderId="8" xfId="0" applyFont="1" applyBorder="1" applyAlignment="1">
      <alignment horizontal="center" vertical="center" wrapText="1"/>
    </xf>
    <xf numFmtId="0" fontId="12" fillId="11" borderId="14" xfId="0" applyFont="1" applyFill="1" applyBorder="1" applyAlignment="1">
      <alignment vertical="center" wrapText="1"/>
    </xf>
    <xf numFmtId="0" fontId="9" fillId="0" borderId="17" xfId="0" applyFont="1" applyFill="1" applyBorder="1" applyAlignment="1">
      <alignment horizontal="center" vertical="center"/>
    </xf>
    <xf numFmtId="0" fontId="9" fillId="0" borderId="17" xfId="0" applyFont="1" applyFill="1" applyBorder="1" applyAlignment="1">
      <alignment horizontal="center"/>
    </xf>
    <xf numFmtId="0" fontId="12" fillId="11" borderId="17" xfId="0" applyFont="1" applyFill="1" applyBorder="1" applyAlignment="1">
      <alignment horizontal="left" wrapText="1"/>
    </xf>
    <xf numFmtId="0" fontId="9" fillId="0" borderId="20" xfId="0" applyFont="1" applyFill="1" applyBorder="1" applyAlignment="1">
      <alignment horizontal="center" vertical="center"/>
    </xf>
    <xf numFmtId="0" fontId="12" fillId="11" borderId="20" xfId="0" applyFont="1" applyFill="1" applyBorder="1" applyAlignment="1">
      <alignment horizontal="left" wrapText="1"/>
    </xf>
    <xf numFmtId="0" fontId="15" fillId="0" borderId="0" xfId="0" applyFont="1" applyBorder="1" applyAlignment="1">
      <alignment vertical="center" wrapText="1"/>
    </xf>
    <xf numFmtId="0" fontId="0" fillId="0" borderId="0" xfId="3" applyFont="1" applyFill="1" applyBorder="1" applyAlignment="1">
      <alignment vertical="center" wrapText="1"/>
    </xf>
    <xf numFmtId="10" fontId="13" fillId="0" borderId="0" xfId="2" applyNumberFormat="1" applyFont="1" applyAlignment="1">
      <alignment horizontal="right" vertical="center"/>
    </xf>
    <xf numFmtId="0" fontId="25" fillId="0" borderId="0" xfId="3" applyFont="1" applyFill="1" applyBorder="1" applyAlignment="1">
      <alignment vertical="center"/>
    </xf>
    <xf numFmtId="0" fontId="0" fillId="0" borderId="0" xfId="0" applyFont="1" applyBorder="1" applyAlignment="1">
      <alignment wrapText="1"/>
    </xf>
    <xf numFmtId="0" fontId="12" fillId="11" borderId="18" xfId="0" applyFont="1" applyFill="1" applyBorder="1" applyAlignment="1">
      <alignment horizontal="left" vertical="top"/>
    </xf>
    <xf numFmtId="0" fontId="12" fillId="11" borderId="21" xfId="0" applyFont="1" applyFill="1" applyBorder="1" applyAlignment="1">
      <alignment horizontal="left" vertical="top"/>
    </xf>
    <xf numFmtId="0" fontId="12" fillId="0" borderId="14" xfId="0" applyFont="1" applyBorder="1" applyAlignment="1">
      <alignment horizontal="left" vertical="center" wrapText="1"/>
    </xf>
    <xf numFmtId="0" fontId="12" fillId="0" borderId="17" xfId="0" applyFont="1" applyBorder="1" applyAlignment="1">
      <alignment horizontal="left" vertical="center" wrapText="1"/>
    </xf>
    <xf numFmtId="0" fontId="12" fillId="0" borderId="23" xfId="0" applyFont="1" applyBorder="1" applyAlignment="1">
      <alignment horizontal="left" vertical="center" wrapText="1"/>
    </xf>
    <xf numFmtId="0" fontId="12" fillId="0" borderId="17" xfId="0" applyFont="1" applyBorder="1" applyAlignment="1">
      <alignment horizontal="left" wrapText="1"/>
    </xf>
    <xf numFmtId="0" fontId="12" fillId="0" borderId="20" xfId="0" applyFont="1" applyBorder="1" applyAlignment="1">
      <alignment horizontal="left" vertical="center" wrapText="1"/>
    </xf>
    <xf numFmtId="0" fontId="12" fillId="0" borderId="0" xfId="0" applyFont="1" applyFill="1" applyBorder="1" applyAlignment="1">
      <alignment horizontal="left" vertical="center" wrapText="1"/>
    </xf>
    <xf numFmtId="0" fontId="13" fillId="0" borderId="0" xfId="2" applyNumberFormat="1" applyFont="1" applyAlignment="1">
      <alignment horizontal="right" vertical="center"/>
    </xf>
    <xf numFmtId="1" fontId="13" fillId="0" borderId="0" xfId="2" applyNumberFormat="1" applyFont="1" applyAlignment="1">
      <alignment horizontal="right" vertical="center"/>
    </xf>
    <xf numFmtId="0" fontId="12" fillId="11" borderId="31" xfId="0" applyFont="1" applyFill="1" applyBorder="1" applyAlignment="1">
      <alignment horizontal="left" vertical="center" wrapText="1"/>
    </xf>
    <xf numFmtId="0" fontId="12" fillId="11" borderId="50" xfId="0" applyFont="1" applyFill="1" applyBorder="1" applyAlignment="1">
      <alignment horizontal="left" vertical="center" wrapText="1"/>
    </xf>
    <xf numFmtId="0" fontId="28" fillId="0" borderId="0" xfId="0" applyFont="1"/>
    <xf numFmtId="0" fontId="13" fillId="0" borderId="0" xfId="0" applyFont="1" applyAlignment="1">
      <alignment horizontal="left"/>
    </xf>
    <xf numFmtId="0" fontId="13" fillId="0" borderId="0" xfId="0" applyFont="1" applyFill="1"/>
    <xf numFmtId="0" fontId="13" fillId="0" borderId="0" xfId="0" applyFont="1" applyAlignment="1">
      <alignment horizontal="left" vertical="top"/>
    </xf>
    <xf numFmtId="0" fontId="13" fillId="0" borderId="0" xfId="0" applyFont="1" applyFill="1" applyAlignment="1">
      <alignment vertical="center"/>
    </xf>
    <xf numFmtId="0" fontId="12" fillId="0" borderId="0" xfId="0" applyFont="1" applyAlignment="1">
      <alignment horizontal="left" vertical="top"/>
    </xf>
    <xf numFmtId="0" fontId="13" fillId="0" borderId="0" xfId="0" applyFont="1" applyAlignment="1">
      <alignment vertical="top" wrapText="1"/>
    </xf>
    <xf numFmtId="167" fontId="13" fillId="0" borderId="0" xfId="1" applyNumberFormat="1" applyFont="1" applyAlignment="1">
      <alignment horizontal="right" vertical="top"/>
    </xf>
    <xf numFmtId="0" fontId="14" fillId="0" borderId="8" xfId="0" applyFont="1" applyFill="1" applyBorder="1" applyAlignment="1">
      <alignment horizontal="center" vertical="center" wrapText="1"/>
    </xf>
    <xf numFmtId="0" fontId="12" fillId="11" borderId="58" xfId="0" applyFont="1" applyFill="1" applyBorder="1" applyAlignment="1">
      <alignment horizontal="left" vertical="center" wrapText="1"/>
    </xf>
    <xf numFmtId="0" fontId="9" fillId="0" borderId="17" xfId="0" applyFont="1" applyFill="1" applyBorder="1" applyAlignment="1">
      <alignment horizontal="center" vertical="center" wrapText="1"/>
    </xf>
    <xf numFmtId="0" fontId="9" fillId="0" borderId="20" xfId="0" applyFont="1" applyFill="1" applyBorder="1" applyAlignment="1">
      <alignment horizontal="center" vertical="center" wrapText="1"/>
    </xf>
    <xf numFmtId="0" fontId="12" fillId="11" borderId="59" xfId="0" applyFont="1" applyFill="1" applyBorder="1" applyAlignment="1">
      <alignment horizontal="left" vertical="center" wrapText="1"/>
    </xf>
    <xf numFmtId="0" fontId="28" fillId="0" borderId="0" xfId="0" applyFont="1" applyAlignment="1">
      <alignment vertical="top" wrapText="1"/>
    </xf>
    <xf numFmtId="167" fontId="28" fillId="0" borderId="0" xfId="1" applyNumberFormat="1" applyFont="1" applyAlignment="1">
      <alignment horizontal="right" vertical="top"/>
    </xf>
    <xf numFmtId="0" fontId="28" fillId="0" borderId="0" xfId="0" applyFont="1" applyAlignment="1">
      <alignment horizontal="center" vertical="top" wrapText="1"/>
    </xf>
    <xf numFmtId="167" fontId="30" fillId="0" borderId="0" xfId="1" applyNumberFormat="1" applyFont="1" applyAlignment="1">
      <alignment horizontal="center" vertical="center"/>
    </xf>
    <xf numFmtId="0" fontId="13" fillId="11" borderId="0" xfId="0" applyFont="1" applyFill="1"/>
    <xf numFmtId="164" fontId="12" fillId="11" borderId="17" xfId="0" applyNumberFormat="1" applyFont="1" applyFill="1" applyBorder="1" applyAlignment="1">
      <alignment vertical="center" wrapText="1"/>
    </xf>
    <xf numFmtId="164" fontId="12" fillId="11" borderId="17" xfId="0" applyNumberFormat="1" applyFont="1" applyFill="1" applyBorder="1" applyAlignment="1">
      <alignment horizontal="left" vertical="top" wrapText="1"/>
    </xf>
    <xf numFmtId="164" fontId="12" fillId="11" borderId="20" xfId="0" applyNumberFormat="1" applyFont="1" applyFill="1" applyBorder="1" applyAlignment="1">
      <alignment vertical="center" wrapText="1"/>
    </xf>
    <xf numFmtId="164" fontId="12" fillId="11" borderId="20" xfId="0" applyNumberFormat="1" applyFont="1" applyFill="1" applyBorder="1" applyAlignment="1">
      <alignment horizontal="left" vertical="top" wrapText="1"/>
    </xf>
    <xf numFmtId="0" fontId="13" fillId="11" borderId="0" xfId="0" applyFont="1" applyFill="1" applyBorder="1"/>
    <xf numFmtId="0" fontId="13" fillId="0" borderId="0" xfId="0" applyFont="1" applyBorder="1" applyAlignment="1">
      <alignment vertical="top" wrapText="1"/>
    </xf>
    <xf numFmtId="0" fontId="13" fillId="0" borderId="0" xfId="0" applyFont="1" applyBorder="1"/>
    <xf numFmtId="0" fontId="13" fillId="0" borderId="0" xfId="0" applyFont="1" applyFill="1" applyBorder="1" applyAlignment="1">
      <alignment vertical="top" wrapText="1"/>
    </xf>
    <xf numFmtId="168" fontId="13" fillId="0" borderId="0" xfId="2" applyNumberFormat="1" applyFont="1" applyAlignment="1">
      <alignment horizontal="right" vertical="top"/>
    </xf>
    <xf numFmtId="0" fontId="28" fillId="0" borderId="0" xfId="0" applyFont="1" applyAlignment="1">
      <alignment horizontal="center"/>
    </xf>
    <xf numFmtId="0" fontId="28" fillId="0" borderId="0" xfId="0" applyFont="1" applyFill="1" applyAlignment="1">
      <alignment horizontal="center"/>
    </xf>
    <xf numFmtId="0" fontId="28" fillId="0" borderId="0" xfId="0" applyFont="1" applyAlignment="1">
      <alignment horizontal="left" vertical="top"/>
    </xf>
    <xf numFmtId="0" fontId="28" fillId="0" borderId="0" xfId="0" applyFont="1" applyFill="1" applyAlignment="1">
      <alignment horizontal="left"/>
    </xf>
    <xf numFmtId="0" fontId="28" fillId="0" borderId="0" xfId="0" applyFont="1" applyAlignment="1"/>
    <xf numFmtId="0" fontId="28" fillId="0" borderId="0" xfId="0" applyFont="1" applyBorder="1" applyAlignment="1">
      <alignment horizontal="left" vertical="top"/>
    </xf>
    <xf numFmtId="0" fontId="14" fillId="0" borderId="30" xfId="0" applyFont="1" applyBorder="1" applyAlignment="1">
      <alignment horizontal="center" vertical="center" wrapText="1"/>
    </xf>
    <xf numFmtId="0" fontId="14" fillId="0" borderId="44" xfId="0" applyFont="1" applyBorder="1" applyAlignment="1">
      <alignment horizontal="center" vertical="center" wrapText="1"/>
    </xf>
    <xf numFmtId="0" fontId="14" fillId="3" borderId="14" xfId="0" applyFont="1" applyFill="1" applyBorder="1" applyAlignment="1">
      <alignment horizontal="center" vertical="center" wrapText="1"/>
    </xf>
    <xf numFmtId="0" fontId="28" fillId="0" borderId="14" xfId="0" applyFont="1" applyFill="1" applyBorder="1" applyAlignment="1">
      <alignment horizontal="center" vertical="center" wrapText="1"/>
    </xf>
    <xf numFmtId="0" fontId="28" fillId="11" borderId="14" xfId="0" applyFont="1" applyFill="1" applyBorder="1" applyAlignment="1">
      <alignment horizontal="left" vertical="center" wrapText="1"/>
    </xf>
    <xf numFmtId="0" fontId="28" fillId="11" borderId="14" xfId="0" applyFont="1" applyFill="1" applyBorder="1" applyAlignment="1">
      <alignment horizontal="left" vertical="top" wrapText="1"/>
    </xf>
    <xf numFmtId="0" fontId="28" fillId="0" borderId="14" xfId="0" applyFont="1" applyFill="1" applyBorder="1" applyAlignment="1">
      <alignment horizontal="left" vertical="center" wrapText="1"/>
    </xf>
    <xf numFmtId="0" fontId="14" fillId="7" borderId="17" xfId="0" applyFont="1" applyFill="1" applyBorder="1" applyAlignment="1">
      <alignment horizontal="center" vertical="center" wrapText="1"/>
    </xf>
    <xf numFmtId="0" fontId="28" fillId="0" borderId="17" xfId="0" applyFont="1" applyFill="1" applyBorder="1" applyAlignment="1">
      <alignment horizontal="center" vertical="center" wrapText="1"/>
    </xf>
    <xf numFmtId="0" fontId="28" fillId="11" borderId="17" xfId="0" applyFont="1" applyFill="1" applyBorder="1" applyAlignment="1">
      <alignment horizontal="left" vertical="center" wrapText="1"/>
    </xf>
    <xf numFmtId="0" fontId="28" fillId="11" borderId="17" xfId="0" applyFont="1" applyFill="1" applyBorder="1" applyAlignment="1">
      <alignment horizontal="left" vertical="top" wrapText="1"/>
    </xf>
    <xf numFmtId="0" fontId="28" fillId="0" borderId="17" xfId="0" applyFont="1" applyFill="1" applyBorder="1" applyAlignment="1">
      <alignment horizontal="left" vertical="center" wrapText="1"/>
    </xf>
    <xf numFmtId="0" fontId="28" fillId="0" borderId="20" xfId="0" applyFont="1" applyFill="1" applyBorder="1" applyAlignment="1">
      <alignment horizontal="center" vertical="center" wrapText="1"/>
    </xf>
    <xf numFmtId="0" fontId="28" fillId="11" borderId="20" xfId="0" applyFont="1" applyFill="1" applyBorder="1" applyAlignment="1">
      <alignment horizontal="left" vertical="center" wrapText="1"/>
    </xf>
    <xf numFmtId="0" fontId="28" fillId="11" borderId="20" xfId="0" applyFont="1" applyFill="1" applyBorder="1" applyAlignment="1">
      <alignment horizontal="left" vertical="top" wrapText="1"/>
    </xf>
    <xf numFmtId="0" fontId="28" fillId="0" borderId="20" xfId="0" applyFont="1" applyFill="1" applyBorder="1" applyAlignment="1">
      <alignment horizontal="left" vertical="center" wrapText="1"/>
    </xf>
    <xf numFmtId="0" fontId="14" fillId="3" borderId="23" xfId="0" applyFont="1" applyFill="1" applyBorder="1" applyAlignment="1">
      <alignment horizontal="center" vertical="center" wrapText="1"/>
    </xf>
    <xf numFmtId="0" fontId="28" fillId="0" borderId="23" xfId="0" applyFont="1" applyFill="1" applyBorder="1" applyAlignment="1">
      <alignment horizontal="center" vertical="center" wrapText="1"/>
    </xf>
    <xf numFmtId="0" fontId="28" fillId="11" borderId="23" xfId="0" applyFont="1" applyFill="1" applyBorder="1" applyAlignment="1">
      <alignment horizontal="left" vertical="center" wrapText="1"/>
    </xf>
    <xf numFmtId="0" fontId="28" fillId="11" borderId="23" xfId="0" applyFont="1" applyFill="1" applyBorder="1" applyAlignment="1">
      <alignment horizontal="left" vertical="top" wrapText="1"/>
    </xf>
    <xf numFmtId="0" fontId="28" fillId="0" borderId="23" xfId="0" applyFont="1" applyFill="1" applyBorder="1" applyAlignment="1">
      <alignment horizontal="left" vertical="center" wrapText="1"/>
    </xf>
    <xf numFmtId="0" fontId="28" fillId="0" borderId="26" xfId="0" applyFont="1" applyFill="1" applyBorder="1" applyAlignment="1">
      <alignment horizontal="center" vertical="center" wrapText="1"/>
    </xf>
    <xf numFmtId="0" fontId="28" fillId="11" borderId="26" xfId="0" applyFont="1" applyFill="1" applyBorder="1" applyAlignment="1">
      <alignment horizontal="left" vertical="center" wrapText="1"/>
    </xf>
    <xf numFmtId="0" fontId="28" fillId="11" borderId="26" xfId="0" applyFont="1" applyFill="1" applyBorder="1" applyAlignment="1">
      <alignment horizontal="left" vertical="top" wrapText="1"/>
    </xf>
    <xf numFmtId="0" fontId="14" fillId="0" borderId="60" xfId="0" applyFont="1" applyBorder="1" applyAlignment="1">
      <alignment horizontal="center" vertical="center" wrapText="1"/>
    </xf>
    <xf numFmtId="0" fontId="14" fillId="0" borderId="44" xfId="0" applyFont="1" applyFill="1" applyBorder="1" applyAlignment="1">
      <alignment horizontal="center" vertical="center" wrapText="1"/>
    </xf>
    <xf numFmtId="0" fontId="28" fillId="17" borderId="14" xfId="0" applyFont="1" applyFill="1" applyBorder="1" applyAlignment="1">
      <alignment vertical="center" wrapText="1"/>
    </xf>
    <xf numFmtId="0" fontId="28" fillId="17" borderId="15" xfId="0" applyFont="1" applyFill="1" applyBorder="1" applyAlignment="1">
      <alignment horizontal="left" vertical="top" wrapText="1"/>
    </xf>
    <xf numFmtId="0" fontId="28" fillId="17" borderId="17" xfId="0" applyFont="1" applyFill="1" applyBorder="1" applyAlignment="1">
      <alignment vertical="center" wrapText="1"/>
    </xf>
    <xf numFmtId="0" fontId="28" fillId="17" borderId="18" xfId="0" applyFont="1" applyFill="1" applyBorder="1" applyAlignment="1">
      <alignment horizontal="left" vertical="top" wrapText="1"/>
    </xf>
    <xf numFmtId="0" fontId="28" fillId="17" borderId="21" xfId="0" applyFont="1" applyFill="1" applyBorder="1" applyAlignment="1">
      <alignment horizontal="left" vertical="top" wrapText="1"/>
    </xf>
    <xf numFmtId="0" fontId="28" fillId="17" borderId="23" xfId="0" applyFont="1" applyFill="1" applyBorder="1" applyAlignment="1">
      <alignment vertical="center" wrapText="1"/>
    </xf>
    <xf numFmtId="0" fontId="28" fillId="17" borderId="24" xfId="0" applyFont="1" applyFill="1" applyBorder="1" applyAlignment="1">
      <alignment horizontal="left" vertical="top" wrapText="1"/>
    </xf>
    <xf numFmtId="0" fontId="28" fillId="17" borderId="27" xfId="0" applyFont="1" applyFill="1" applyBorder="1" applyAlignment="1">
      <alignment horizontal="left" vertical="top" wrapText="1"/>
    </xf>
    <xf numFmtId="0" fontId="28" fillId="11" borderId="14" xfId="0" applyFont="1" applyFill="1" applyBorder="1" applyAlignment="1">
      <alignment vertical="center" wrapText="1"/>
    </xf>
    <xf numFmtId="0" fontId="28" fillId="11" borderId="15" xfId="0" applyFont="1" applyFill="1" applyBorder="1" applyAlignment="1">
      <alignment horizontal="left" vertical="top" wrapText="1"/>
    </xf>
    <xf numFmtId="0" fontId="28" fillId="11" borderId="17" xfId="0" applyFont="1" applyFill="1" applyBorder="1" applyAlignment="1">
      <alignment vertical="center" wrapText="1"/>
    </xf>
    <xf numFmtId="0" fontId="28" fillId="11" borderId="18" xfId="0" applyFont="1" applyFill="1" applyBorder="1" applyAlignment="1">
      <alignment horizontal="left" vertical="top" wrapText="1"/>
    </xf>
    <xf numFmtId="0" fontId="28" fillId="11" borderId="20" xfId="0" applyFont="1" applyFill="1" applyBorder="1" applyAlignment="1">
      <alignment vertical="center" wrapText="1"/>
    </xf>
    <xf numFmtId="0" fontId="28" fillId="11" borderId="17" xfId="0" applyFont="1" applyFill="1" applyBorder="1" applyAlignment="1">
      <alignment vertical="top" wrapText="1"/>
    </xf>
    <xf numFmtId="0" fontId="28" fillId="11" borderId="20" xfId="0" applyFont="1" applyFill="1" applyBorder="1" applyAlignment="1">
      <alignment vertical="top" wrapText="1"/>
    </xf>
    <xf numFmtId="0" fontId="28" fillId="11" borderId="21" xfId="0" applyFont="1" applyFill="1" applyBorder="1" applyAlignment="1">
      <alignment horizontal="left" vertical="top" wrapText="1"/>
    </xf>
    <xf numFmtId="0" fontId="31" fillId="11" borderId="18" xfId="0" applyFont="1" applyFill="1" applyBorder="1"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xf>
    <xf numFmtId="0" fontId="0" fillId="0" borderId="17" xfId="0" applyBorder="1" applyAlignment="1">
      <alignment horizontal="center" vertical="center"/>
    </xf>
    <xf numFmtId="0" fontId="0" fillId="0" borderId="17" xfId="0" applyFill="1" applyBorder="1" applyAlignment="1">
      <alignment horizontal="center" vertical="center"/>
    </xf>
    <xf numFmtId="1" fontId="0" fillId="3" borderId="17" xfId="0" applyNumberFormat="1" applyFill="1" applyBorder="1" applyAlignment="1">
      <alignment horizontal="center" vertical="center"/>
    </xf>
    <xf numFmtId="1" fontId="0" fillId="14" borderId="17" xfId="0" applyNumberFormat="1" applyFill="1" applyBorder="1" applyAlignment="1">
      <alignment horizontal="center" vertical="center"/>
    </xf>
    <xf numFmtId="0" fontId="0" fillId="0" borderId="17" xfId="0" applyBorder="1" applyAlignment="1">
      <alignment horizontal="center" vertical="center" wrapText="1"/>
    </xf>
    <xf numFmtId="0" fontId="1" fillId="2" borderId="17" xfId="0" applyFont="1" applyFill="1" applyBorder="1" applyAlignment="1">
      <alignment horizontal="center" vertical="center"/>
    </xf>
    <xf numFmtId="2" fontId="0" fillId="3" borderId="17" xfId="0" applyNumberFormat="1" applyFill="1" applyBorder="1" applyAlignment="1">
      <alignment horizontal="center" vertical="center"/>
    </xf>
    <xf numFmtId="165" fontId="0" fillId="3" borderId="17" xfId="0" applyNumberFormat="1" applyFill="1" applyBorder="1" applyAlignment="1">
      <alignment horizontal="center" vertical="center"/>
    </xf>
    <xf numFmtId="0" fontId="8" fillId="19" borderId="0" xfId="0" applyFont="1" applyFill="1" applyBorder="1" applyAlignment="1">
      <alignment horizontal="left"/>
    </xf>
    <xf numFmtId="0" fontId="8" fillId="19" borderId="0" xfId="0" applyFont="1" applyFill="1" applyBorder="1" applyAlignment="1"/>
    <xf numFmtId="1" fontId="0" fillId="0" borderId="0" xfId="0" applyNumberFormat="1" applyFont="1" applyFill="1" applyBorder="1" applyAlignment="1"/>
    <xf numFmtId="2" fontId="0" fillId="19" borderId="0" xfId="0" applyNumberFormat="1" applyFont="1" applyFill="1" applyBorder="1" applyAlignment="1"/>
    <xf numFmtId="0" fontId="5" fillId="2" borderId="0" xfId="0" applyFont="1" applyFill="1" applyBorder="1" applyAlignment="1">
      <alignment horizontal="center" vertical="center" wrapText="1"/>
    </xf>
    <xf numFmtId="0" fontId="0" fillId="0" borderId="0" xfId="0" applyFont="1" applyFill="1" applyBorder="1" applyAlignment="1">
      <alignment wrapText="1"/>
    </xf>
    <xf numFmtId="0" fontId="8" fillId="13" borderId="0" xfId="0" applyFont="1" applyFill="1" applyBorder="1" applyAlignment="1"/>
    <xf numFmtId="0" fontId="28" fillId="0" borderId="0" xfId="0" applyFont="1" applyAlignment="1">
      <alignment horizontal="center" vertical="center"/>
    </xf>
    <xf numFmtId="0" fontId="41" fillId="5" borderId="0" xfId="0" applyFont="1" applyFill="1" applyBorder="1" applyAlignment="1">
      <alignment horizontal="left"/>
    </xf>
    <xf numFmtId="0" fontId="42" fillId="19" borderId="0" xfId="0" applyFont="1" applyFill="1" applyBorder="1" applyAlignment="1"/>
    <xf numFmtId="0" fontId="43" fillId="11" borderId="17" xfId="0" applyFont="1" applyFill="1" applyBorder="1" applyAlignment="1">
      <alignment horizontal="left" vertical="center" wrapText="1"/>
    </xf>
    <xf numFmtId="0" fontId="43" fillId="11" borderId="20" xfId="0" applyFont="1" applyFill="1" applyBorder="1" applyAlignment="1">
      <alignment horizontal="left" vertical="center" wrapText="1"/>
    </xf>
    <xf numFmtId="0" fontId="44" fillId="11" borderId="17" xfId="0" applyFont="1" applyFill="1" applyBorder="1" applyAlignment="1">
      <alignment horizontal="left" vertical="center" wrapText="1"/>
    </xf>
    <xf numFmtId="0" fontId="14" fillId="0" borderId="1" xfId="0" applyFont="1" applyBorder="1" applyAlignment="1">
      <alignment horizontal="left" vertical="top" wrapText="1"/>
    </xf>
    <xf numFmtId="0" fontId="14" fillId="0" borderId="2" xfId="0" applyFont="1" applyBorder="1" applyAlignment="1">
      <alignment horizontal="left" vertical="top" wrapText="1"/>
    </xf>
    <xf numFmtId="0" fontId="14" fillId="0" borderId="3" xfId="0" applyFont="1" applyBorder="1" applyAlignment="1">
      <alignment horizontal="left" vertical="top" wrapText="1"/>
    </xf>
    <xf numFmtId="0" fontId="14" fillId="0" borderId="9" xfId="0" applyFont="1" applyBorder="1" applyAlignment="1">
      <alignment horizontal="left" vertical="top" wrapText="1"/>
    </xf>
    <xf numFmtId="0" fontId="14" fillId="0" borderId="10" xfId="0" applyFont="1" applyBorder="1" applyAlignment="1">
      <alignment horizontal="left" vertical="top" wrapText="1"/>
    </xf>
    <xf numFmtId="0" fontId="14" fillId="0" borderId="11" xfId="0" applyFont="1" applyBorder="1" applyAlignment="1">
      <alignment horizontal="left" vertical="top" wrapText="1"/>
    </xf>
    <xf numFmtId="0" fontId="14" fillId="0" borderId="13" xfId="0" applyFont="1" applyBorder="1" applyAlignment="1">
      <alignment horizontal="left" vertical="top" wrapText="1"/>
    </xf>
    <xf numFmtId="0" fontId="14" fillId="0" borderId="14" xfId="0" applyFont="1" applyBorder="1" applyAlignment="1">
      <alignment horizontal="left" vertical="top" wrapText="1"/>
    </xf>
    <xf numFmtId="0" fontId="14" fillId="0" borderId="15" xfId="0" applyFont="1" applyBorder="1" applyAlignment="1">
      <alignment horizontal="left" vertical="top" wrapText="1"/>
    </xf>
    <xf numFmtId="0" fontId="14" fillId="0" borderId="19" xfId="0" applyFont="1" applyBorder="1" applyAlignment="1">
      <alignment horizontal="left" vertical="top" wrapText="1"/>
    </xf>
    <xf numFmtId="0" fontId="14" fillId="0" borderId="20" xfId="0" applyFont="1" applyBorder="1" applyAlignment="1">
      <alignment horizontal="left" vertical="top" wrapText="1"/>
    </xf>
    <xf numFmtId="0" fontId="14" fillId="0" borderId="21" xfId="0" applyFont="1" applyBorder="1" applyAlignment="1">
      <alignment horizontal="left" vertical="top" wrapText="1"/>
    </xf>
    <xf numFmtId="0" fontId="14" fillId="0" borderId="22" xfId="0" applyFont="1" applyBorder="1" applyAlignment="1">
      <alignment horizontal="left" vertical="top" wrapText="1"/>
    </xf>
    <xf numFmtId="0" fontId="14" fillId="0" borderId="23" xfId="0" applyFont="1" applyBorder="1" applyAlignment="1">
      <alignment horizontal="left" vertical="top" wrapText="1"/>
    </xf>
    <xf numFmtId="0" fontId="14" fillId="0" borderId="24" xfId="0" applyFont="1" applyBorder="1" applyAlignment="1">
      <alignment horizontal="left" vertical="top" wrapText="1"/>
    </xf>
    <xf numFmtId="0" fontId="14" fillId="0" borderId="25" xfId="0" applyFont="1" applyBorder="1" applyAlignment="1">
      <alignment horizontal="left" vertical="top" wrapText="1"/>
    </xf>
    <xf numFmtId="0" fontId="14" fillId="0" borderId="26" xfId="0" applyFont="1" applyBorder="1" applyAlignment="1">
      <alignment horizontal="left" vertical="top" wrapText="1"/>
    </xf>
    <xf numFmtId="0" fontId="14" fillId="0" borderId="27" xfId="0" applyFont="1" applyBorder="1" applyAlignment="1">
      <alignment horizontal="left" vertical="top" wrapText="1"/>
    </xf>
    <xf numFmtId="0" fontId="11" fillId="16" borderId="1" xfId="0" applyFont="1" applyFill="1" applyBorder="1" applyAlignment="1">
      <alignment horizontal="left" vertical="center" wrapText="1"/>
    </xf>
    <xf numFmtId="0" fontId="11" fillId="16" borderId="2" xfId="0" applyFont="1" applyFill="1" applyBorder="1" applyAlignment="1">
      <alignment horizontal="left" vertical="center" wrapText="1"/>
    </xf>
    <xf numFmtId="0" fontId="11" fillId="16" borderId="3" xfId="0" applyFont="1" applyFill="1" applyBorder="1" applyAlignment="1">
      <alignment horizontal="left" vertical="center" wrapText="1"/>
    </xf>
    <xf numFmtId="0" fontId="11" fillId="16" borderId="9" xfId="0" applyFont="1" applyFill="1" applyBorder="1" applyAlignment="1">
      <alignment horizontal="left" vertical="center" wrapText="1"/>
    </xf>
    <xf numFmtId="0" fontId="11" fillId="16" borderId="10" xfId="0" applyFont="1" applyFill="1" applyBorder="1" applyAlignment="1">
      <alignment horizontal="left" vertical="center" wrapText="1"/>
    </xf>
    <xf numFmtId="0" fontId="11" fillId="16" borderId="11" xfId="0" applyFont="1" applyFill="1" applyBorder="1" applyAlignment="1">
      <alignment horizontal="left" vertical="center" wrapText="1"/>
    </xf>
    <xf numFmtId="0" fontId="28" fillId="17" borderId="17" xfId="0" applyFont="1" applyFill="1" applyBorder="1" applyAlignment="1">
      <alignment vertical="center" wrapText="1"/>
    </xf>
    <xf numFmtId="0" fontId="28" fillId="17" borderId="26" xfId="0" applyFont="1" applyFill="1" applyBorder="1" applyAlignment="1">
      <alignment vertical="center" wrapText="1"/>
    </xf>
    <xf numFmtId="0" fontId="28" fillId="11" borderId="26" xfId="0" applyFont="1" applyFill="1" applyBorder="1" applyAlignment="1">
      <alignment horizontal="left" vertical="center" wrapText="1"/>
    </xf>
    <xf numFmtId="0" fontId="28" fillId="11" borderId="23" xfId="0" applyFont="1" applyFill="1" applyBorder="1" applyAlignment="1">
      <alignment horizontal="left" vertical="center" wrapText="1"/>
    </xf>
    <xf numFmtId="0" fontId="28" fillId="11" borderId="43" xfId="0" applyFont="1" applyFill="1" applyBorder="1" applyAlignment="1">
      <alignment horizontal="left" vertical="center" wrapText="1"/>
    </xf>
    <xf numFmtId="0" fontId="28" fillId="0" borderId="44" xfId="0" applyFont="1" applyBorder="1" applyAlignment="1">
      <alignment horizontal="left" vertical="center" wrapText="1"/>
    </xf>
    <xf numFmtId="0" fontId="28" fillId="11" borderId="27" xfId="0" applyFont="1" applyFill="1" applyBorder="1" applyAlignment="1">
      <alignment horizontal="left" vertical="top" wrapText="1"/>
    </xf>
    <xf numFmtId="0" fontId="28" fillId="11" borderId="24" xfId="0" applyFont="1" applyFill="1" applyBorder="1" applyAlignment="1">
      <alignment horizontal="left" vertical="top" wrapText="1"/>
    </xf>
    <xf numFmtId="0" fontId="28" fillId="11" borderId="46" xfId="0" applyFont="1" applyFill="1" applyBorder="1" applyAlignment="1">
      <alignment horizontal="left" vertical="top" wrapText="1"/>
    </xf>
    <xf numFmtId="0" fontId="28" fillId="0" borderId="47" xfId="0" applyFont="1" applyBorder="1" applyAlignment="1">
      <alignment horizontal="left" vertical="top" wrapText="1"/>
    </xf>
    <xf numFmtId="0" fontId="28" fillId="17" borderId="20" xfId="0" applyFont="1" applyFill="1" applyBorder="1" applyAlignment="1">
      <alignment vertical="center" wrapText="1"/>
    </xf>
    <xf numFmtId="0" fontId="28" fillId="17" borderId="23" xfId="0" applyFont="1" applyFill="1" applyBorder="1" applyAlignment="1">
      <alignment vertical="center" wrapText="1"/>
    </xf>
    <xf numFmtId="0" fontId="14" fillId="8" borderId="17" xfId="0" applyFont="1" applyFill="1" applyBorder="1" applyAlignment="1">
      <alignment horizontal="center" vertical="center" wrapText="1"/>
    </xf>
    <xf numFmtId="0" fontId="14" fillId="9" borderId="17" xfId="0" applyFont="1" applyFill="1" applyBorder="1" applyAlignment="1">
      <alignment horizontal="center" vertical="center" wrapText="1"/>
    </xf>
    <xf numFmtId="0" fontId="14" fillId="10" borderId="17" xfId="0" applyFont="1" applyFill="1" applyBorder="1" applyAlignment="1">
      <alignment horizontal="center" vertical="center" wrapText="1"/>
    </xf>
    <xf numFmtId="0" fontId="14" fillId="10" borderId="20" xfId="0" applyFont="1" applyFill="1" applyBorder="1" applyAlignment="1">
      <alignment horizontal="center" vertical="center" wrapText="1"/>
    </xf>
    <xf numFmtId="0" fontId="14" fillId="3" borderId="14" xfId="0" applyFont="1" applyFill="1" applyBorder="1" applyAlignment="1">
      <alignment horizontal="center" vertical="center" wrapText="1"/>
    </xf>
    <xf numFmtId="0" fontId="14" fillId="3" borderId="17" xfId="0" applyFont="1" applyFill="1" applyBorder="1" applyAlignment="1">
      <alignment horizontal="center" vertical="center" wrapText="1"/>
    </xf>
    <xf numFmtId="0" fontId="14" fillId="7" borderId="17" xfId="0" applyFont="1" applyFill="1" applyBorder="1" applyAlignment="1">
      <alignment horizontal="center" vertical="center" wrapText="1"/>
    </xf>
    <xf numFmtId="0" fontId="28" fillId="0" borderId="5" xfId="0" applyFont="1" applyFill="1" applyBorder="1" applyAlignment="1">
      <alignment horizontal="center" vertical="center" wrapText="1"/>
    </xf>
    <xf numFmtId="0" fontId="28" fillId="0" borderId="23" xfId="0" applyFont="1" applyFill="1" applyBorder="1" applyAlignment="1">
      <alignment horizontal="center" vertical="center" wrapText="1"/>
    </xf>
    <xf numFmtId="0" fontId="28" fillId="0" borderId="26" xfId="0" applyFont="1" applyFill="1" applyBorder="1" applyAlignment="1">
      <alignment horizontal="center" vertical="center" wrapText="1"/>
    </xf>
    <xf numFmtId="0" fontId="28" fillId="0" borderId="43" xfId="0" applyFont="1" applyFill="1" applyBorder="1" applyAlignment="1">
      <alignment horizontal="center" vertical="center" wrapText="1"/>
    </xf>
    <xf numFmtId="0" fontId="28" fillId="0" borderId="44" xfId="0" applyFont="1" applyFill="1" applyBorder="1" applyAlignment="1">
      <alignment horizontal="center" vertical="center" wrapText="1"/>
    </xf>
    <xf numFmtId="0" fontId="28" fillId="0" borderId="26" xfId="0" applyFont="1" applyFill="1" applyBorder="1" applyAlignment="1">
      <alignment horizontal="left" vertical="center" wrapText="1"/>
    </xf>
    <xf numFmtId="0" fontId="28" fillId="0" borderId="23" xfId="0" applyFont="1" applyFill="1" applyBorder="1" applyAlignment="1">
      <alignment horizontal="left" vertical="center" wrapText="1"/>
    </xf>
    <xf numFmtId="0" fontId="28" fillId="0" borderId="44" xfId="0" applyFont="1" applyFill="1" applyBorder="1" applyAlignment="1">
      <alignment horizontal="left" vertical="center" wrapText="1"/>
    </xf>
    <xf numFmtId="0" fontId="28" fillId="11" borderId="26" xfId="0" applyFont="1" applyFill="1" applyBorder="1" applyAlignment="1">
      <alignment horizontal="left" vertical="top" wrapText="1"/>
    </xf>
    <xf numFmtId="0" fontId="28" fillId="11" borderId="43" xfId="0" applyFont="1" applyFill="1" applyBorder="1" applyAlignment="1">
      <alignment horizontal="left" vertical="top" wrapText="1"/>
    </xf>
    <xf numFmtId="0" fontId="28" fillId="11" borderId="23" xfId="0" applyFont="1" applyFill="1" applyBorder="1" applyAlignment="1">
      <alignment horizontal="left" vertical="top" wrapText="1"/>
    </xf>
    <xf numFmtId="0" fontId="28" fillId="0" borderId="43" xfId="0" applyFont="1" applyBorder="1" applyAlignment="1">
      <alignment horizontal="left" vertical="top" wrapText="1"/>
    </xf>
    <xf numFmtId="0" fontId="28" fillId="0" borderId="44" xfId="0" applyFont="1" applyBorder="1" applyAlignment="1">
      <alignment horizontal="left" vertical="top" wrapText="1"/>
    </xf>
    <xf numFmtId="0" fontId="14" fillId="3" borderId="23" xfId="0" applyFont="1" applyFill="1" applyBorder="1" applyAlignment="1">
      <alignment horizontal="center" vertical="center" wrapText="1"/>
    </xf>
    <xf numFmtId="0" fontId="14" fillId="10" borderId="26" xfId="0" applyFont="1" applyFill="1" applyBorder="1" applyAlignment="1">
      <alignment horizontal="center" vertical="center" wrapText="1"/>
    </xf>
    <xf numFmtId="0" fontId="28" fillId="11" borderId="5" xfId="0" applyFont="1" applyFill="1" applyBorder="1" applyAlignment="1">
      <alignment horizontal="left" vertical="top" wrapText="1"/>
    </xf>
    <xf numFmtId="0" fontId="28" fillId="0" borderId="43" xfId="0" applyFont="1" applyBorder="1" applyAlignment="1">
      <alignment horizontal="left" vertical="center" wrapText="1"/>
    </xf>
    <xf numFmtId="0" fontId="28" fillId="11" borderId="14" xfId="0" applyFont="1" applyFill="1" applyBorder="1" applyAlignment="1">
      <alignment horizontal="left" vertical="top" wrapText="1"/>
    </xf>
    <xf numFmtId="0" fontId="28" fillId="0" borderId="17" xfId="0" applyFont="1" applyBorder="1" applyAlignment="1">
      <alignment horizontal="left" vertical="top" wrapText="1"/>
    </xf>
    <xf numFmtId="0" fontId="28" fillId="18" borderId="26" xfId="0" applyFont="1" applyFill="1" applyBorder="1" applyAlignment="1">
      <alignment horizontal="left" vertical="top" wrapText="1"/>
    </xf>
    <xf numFmtId="0" fontId="28" fillId="18" borderId="43" xfId="0" applyFont="1" applyFill="1" applyBorder="1" applyAlignment="1">
      <alignment horizontal="left" vertical="top" wrapText="1"/>
    </xf>
    <xf numFmtId="0" fontId="28" fillId="18" borderId="23" xfId="0" applyFont="1" applyFill="1" applyBorder="1" applyAlignment="1">
      <alignment horizontal="left" vertical="top" wrapText="1"/>
    </xf>
    <xf numFmtId="0" fontId="28" fillId="11" borderId="17" xfId="0" applyFont="1" applyFill="1" applyBorder="1" applyAlignment="1">
      <alignment horizontal="left" vertical="top" wrapText="1"/>
    </xf>
    <xf numFmtId="0" fontId="28" fillId="0" borderId="20" xfId="0" applyFont="1" applyBorder="1" applyAlignment="1">
      <alignment horizontal="left" vertical="top" wrapText="1"/>
    </xf>
    <xf numFmtId="0" fontId="28" fillId="11" borderId="5" xfId="0" applyFont="1" applyFill="1" applyBorder="1" applyAlignment="1">
      <alignment horizontal="left" vertical="center" wrapText="1"/>
    </xf>
    <xf numFmtId="0" fontId="28" fillId="11" borderId="17" xfId="0" applyFont="1" applyFill="1" applyBorder="1" applyAlignment="1">
      <alignment horizontal="left" vertical="center" wrapText="1"/>
    </xf>
    <xf numFmtId="0" fontId="28" fillId="0" borderId="17" xfId="0" applyFont="1" applyBorder="1" applyAlignment="1">
      <alignment horizontal="left" vertical="center" wrapText="1"/>
    </xf>
    <xf numFmtId="0" fontId="28" fillId="0" borderId="20" xfId="0" applyFont="1" applyBorder="1" applyAlignment="1">
      <alignment horizontal="left" vertical="center" wrapText="1"/>
    </xf>
    <xf numFmtId="0" fontId="28" fillId="11" borderId="14" xfId="0" applyFont="1" applyFill="1" applyBorder="1" applyAlignment="1">
      <alignment horizontal="left" vertical="center" wrapText="1" indent="2"/>
    </xf>
    <xf numFmtId="0" fontId="28" fillId="0" borderId="17" xfId="0" applyFont="1" applyBorder="1" applyAlignment="1">
      <alignment horizontal="left" vertical="center" wrapText="1" indent="2"/>
    </xf>
    <xf numFmtId="0" fontId="28" fillId="18" borderId="17" xfId="0" applyFont="1" applyFill="1" applyBorder="1" applyAlignment="1">
      <alignment horizontal="left" vertical="center" wrapText="1" indent="2"/>
    </xf>
    <xf numFmtId="0" fontId="28" fillId="0" borderId="17" xfId="0" applyFont="1" applyFill="1" applyBorder="1" applyAlignment="1">
      <alignment horizontal="center" vertical="center" wrapText="1"/>
    </xf>
    <xf numFmtId="0" fontId="28" fillId="0" borderId="14" xfId="0" applyFont="1" applyFill="1" applyBorder="1" applyAlignment="1">
      <alignment horizontal="center" vertical="center" wrapText="1"/>
    </xf>
    <xf numFmtId="0" fontId="28" fillId="18" borderId="26" xfId="0" applyFont="1" applyFill="1" applyBorder="1" applyAlignment="1">
      <alignment horizontal="center" vertical="center" wrapText="1"/>
    </xf>
    <xf numFmtId="0" fontId="28" fillId="18" borderId="43" xfId="0" applyFont="1" applyFill="1" applyBorder="1" applyAlignment="1">
      <alignment horizontal="center" vertical="center" wrapText="1"/>
    </xf>
    <xf numFmtId="0" fontId="28" fillId="18" borderId="23" xfId="0" applyFont="1" applyFill="1" applyBorder="1" applyAlignment="1">
      <alignment horizontal="center" vertical="center" wrapText="1"/>
    </xf>
    <xf numFmtId="0" fontId="28" fillId="0" borderId="17" xfId="0" applyFont="1" applyFill="1" applyBorder="1" applyAlignment="1">
      <alignment horizontal="center" vertical="top" wrapText="1"/>
    </xf>
    <xf numFmtId="0" fontId="28" fillId="0" borderId="20" xfId="0" applyFont="1" applyFill="1" applyBorder="1" applyAlignment="1">
      <alignment horizontal="center" vertical="center" wrapText="1"/>
    </xf>
    <xf numFmtId="0" fontId="9" fillId="0" borderId="38" xfId="0" applyFont="1" applyBorder="1" applyAlignment="1">
      <alignment horizontal="center" vertical="center" wrapText="1"/>
    </xf>
    <xf numFmtId="0" fontId="9" fillId="0" borderId="33" xfId="0" applyFont="1" applyBorder="1" applyAlignment="1">
      <alignment horizontal="center" vertical="center" wrapText="1"/>
    </xf>
    <xf numFmtId="0" fontId="9" fillId="0" borderId="32" xfId="0" applyFont="1" applyBorder="1" applyAlignment="1">
      <alignment horizontal="center" vertical="center" wrapText="1"/>
    </xf>
    <xf numFmtId="0" fontId="11" fillId="0" borderId="9" xfId="0" applyFont="1" applyBorder="1" applyAlignment="1">
      <alignment horizontal="center" vertical="center" wrapText="1"/>
    </xf>
    <xf numFmtId="0" fontId="11" fillId="0" borderId="10" xfId="0" applyFont="1" applyBorder="1" applyAlignment="1">
      <alignment horizontal="center" vertical="center" wrapText="1"/>
    </xf>
    <xf numFmtId="0" fontId="11" fillId="0" borderId="11" xfId="0" applyFont="1" applyBorder="1" applyAlignment="1">
      <alignment horizontal="center" vertical="center" wrapText="1"/>
    </xf>
    <xf numFmtId="0" fontId="11" fillId="12" borderId="9" xfId="0" applyFont="1" applyFill="1" applyBorder="1" applyAlignment="1">
      <alignment horizontal="left" vertical="center" wrapText="1"/>
    </xf>
    <xf numFmtId="0" fontId="11" fillId="12" borderId="10" xfId="0" applyFont="1" applyFill="1" applyBorder="1" applyAlignment="1">
      <alignment horizontal="left" vertical="center" wrapText="1"/>
    </xf>
    <xf numFmtId="0" fontId="11" fillId="12" borderId="11" xfId="0" applyFont="1" applyFill="1" applyBorder="1" applyAlignment="1">
      <alignment horizontal="left" vertical="center" wrapText="1"/>
    </xf>
    <xf numFmtId="0" fontId="14" fillId="0" borderId="44" xfId="0" applyFont="1" applyBorder="1" applyAlignment="1">
      <alignment horizontal="center" vertical="center" wrapText="1"/>
    </xf>
    <xf numFmtId="0" fontId="14" fillId="0" borderId="57" xfId="0" applyFont="1" applyBorder="1" applyAlignment="1">
      <alignment horizontal="center" vertical="center" wrapText="1"/>
    </xf>
    <xf numFmtId="0" fontId="14" fillId="0" borderId="12" xfId="0" applyFont="1" applyBorder="1" applyAlignment="1">
      <alignment horizontal="center" vertical="center" wrapText="1"/>
    </xf>
    <xf numFmtId="0" fontId="14" fillId="0" borderId="8" xfId="0" applyFont="1" applyBorder="1" applyAlignment="1">
      <alignment horizontal="center" vertical="center" wrapText="1"/>
    </xf>
    <xf numFmtId="0" fontId="28" fillId="0" borderId="34" xfId="0" applyFont="1" applyBorder="1" applyAlignment="1">
      <alignment horizontal="center"/>
    </xf>
    <xf numFmtId="0" fontId="28" fillId="0" borderId="35" xfId="0" applyFont="1" applyBorder="1" applyAlignment="1">
      <alignment horizontal="center"/>
    </xf>
    <xf numFmtId="0" fontId="28" fillId="0" borderId="36" xfId="0" applyFont="1" applyBorder="1" applyAlignment="1">
      <alignment horizontal="center"/>
    </xf>
    <xf numFmtId="0" fontId="28" fillId="0" borderId="2" xfId="0" applyFont="1" applyBorder="1" applyAlignment="1">
      <alignment horizontal="center"/>
    </xf>
    <xf numFmtId="0" fontId="28" fillId="0" borderId="0" xfId="0" applyFont="1" applyAlignment="1">
      <alignment horizontal="center"/>
    </xf>
    <xf numFmtId="0" fontId="14" fillId="6" borderId="13" xfId="0" applyFont="1" applyFill="1" applyBorder="1" applyAlignment="1">
      <alignment horizontal="left" vertical="center" wrapText="1"/>
    </xf>
    <xf numFmtId="0" fontId="14" fillId="6" borderId="16" xfId="0" applyFont="1" applyFill="1" applyBorder="1" applyAlignment="1">
      <alignment horizontal="left" vertical="center" wrapText="1"/>
    </xf>
    <xf numFmtId="0" fontId="14" fillId="6" borderId="19" xfId="0" applyFont="1" applyFill="1" applyBorder="1" applyAlignment="1">
      <alignment horizontal="left" vertical="center" wrapText="1"/>
    </xf>
    <xf numFmtId="0" fontId="14" fillId="6" borderId="22" xfId="0" applyFont="1" applyFill="1" applyBorder="1" applyAlignment="1">
      <alignment horizontal="left" vertical="center" wrapText="1"/>
    </xf>
    <xf numFmtId="0" fontId="14" fillId="6" borderId="25" xfId="0" applyFont="1" applyFill="1" applyBorder="1" applyAlignment="1">
      <alignment horizontal="left" vertical="center" wrapText="1"/>
    </xf>
    <xf numFmtId="0" fontId="14" fillId="6" borderId="62" xfId="0" applyFont="1" applyFill="1" applyBorder="1" applyAlignment="1">
      <alignment horizontal="left" vertical="center" wrapText="1"/>
    </xf>
    <xf numFmtId="0" fontId="14" fillId="6" borderId="63" xfId="0" applyFont="1" applyFill="1" applyBorder="1" applyAlignment="1">
      <alignment horizontal="left" vertical="center" wrapText="1"/>
    </xf>
    <xf numFmtId="0" fontId="14" fillId="6" borderId="64" xfId="0" applyFont="1" applyFill="1" applyBorder="1" applyAlignment="1">
      <alignment horizontal="left" vertical="center" wrapText="1"/>
    </xf>
    <xf numFmtId="0" fontId="12" fillId="11" borderId="27" xfId="0" applyFont="1" applyFill="1" applyBorder="1" applyAlignment="1">
      <alignment horizontal="left" vertical="top"/>
    </xf>
    <xf numFmtId="0" fontId="12" fillId="0" borderId="47" xfId="0" applyFont="1" applyBorder="1" applyAlignment="1">
      <alignment horizontal="left" vertical="top"/>
    </xf>
    <xf numFmtId="0" fontId="12" fillId="11" borderId="6" xfId="0" applyFont="1" applyFill="1" applyBorder="1" applyAlignment="1">
      <alignment horizontal="left" vertical="top"/>
    </xf>
    <xf numFmtId="0" fontId="12" fillId="11" borderId="46" xfId="0" applyFont="1" applyFill="1" applyBorder="1" applyAlignment="1">
      <alignment horizontal="left" vertical="top"/>
    </xf>
    <xf numFmtId="0" fontId="12" fillId="11" borderId="24" xfId="0" applyFont="1" applyFill="1" applyBorder="1" applyAlignment="1">
      <alignment horizontal="left" vertical="top"/>
    </xf>
    <xf numFmtId="0" fontId="12" fillId="0" borderId="46" xfId="0" applyFont="1" applyBorder="1" applyAlignment="1">
      <alignment horizontal="left" vertical="top"/>
    </xf>
    <xf numFmtId="0" fontId="14" fillId="0" borderId="41" xfId="0" applyFont="1" applyBorder="1" applyAlignment="1">
      <alignment horizontal="left" vertical="top" wrapText="1"/>
    </xf>
    <xf numFmtId="0" fontId="14" fillId="0" borderId="42" xfId="0" applyFont="1" applyBorder="1" applyAlignment="1">
      <alignment horizontal="left" vertical="top" wrapText="1"/>
    </xf>
    <xf numFmtId="0" fontId="14" fillId="0" borderId="45" xfId="0" applyFont="1" applyBorder="1" applyAlignment="1">
      <alignment horizontal="left" vertical="top" wrapText="1"/>
    </xf>
    <xf numFmtId="0" fontId="12" fillId="11" borderId="50" xfId="0" applyFont="1" applyFill="1" applyBorder="1" applyAlignment="1">
      <alignment horizontal="left" vertical="center" wrapText="1"/>
    </xf>
    <xf numFmtId="0" fontId="12" fillId="0" borderId="61" xfId="0" applyFont="1" applyFill="1" applyBorder="1" applyAlignment="1">
      <alignment horizontal="left" vertical="center" wrapText="1"/>
    </xf>
    <xf numFmtId="0" fontId="12" fillId="0" borderId="52" xfId="0" applyFont="1" applyFill="1" applyBorder="1" applyAlignment="1">
      <alignment horizontal="left" vertical="center" wrapText="1"/>
    </xf>
    <xf numFmtId="0" fontId="12" fillId="11" borderId="54" xfId="0" applyFont="1" applyFill="1" applyBorder="1" applyAlignment="1">
      <alignment horizontal="left" vertical="center" wrapText="1"/>
    </xf>
    <xf numFmtId="0" fontId="12" fillId="11" borderId="52" xfId="0" applyFont="1" applyFill="1" applyBorder="1" applyAlignment="1">
      <alignment horizontal="left" vertical="center" wrapText="1"/>
    </xf>
    <xf numFmtId="0" fontId="12" fillId="11" borderId="31" xfId="0" applyFont="1" applyFill="1" applyBorder="1" applyAlignment="1">
      <alignment horizontal="left" vertical="center" wrapText="1"/>
    </xf>
    <xf numFmtId="0" fontId="12" fillId="0" borderId="31" xfId="0" applyFont="1" applyFill="1" applyBorder="1" applyAlignment="1">
      <alignment horizontal="left" vertical="center" wrapText="1"/>
    </xf>
    <xf numFmtId="0" fontId="12" fillId="0" borderId="59" xfId="0" applyFont="1" applyFill="1" applyBorder="1" applyAlignment="1">
      <alignment horizontal="left" vertical="center" wrapText="1"/>
    </xf>
    <xf numFmtId="0" fontId="10" fillId="10" borderId="51" xfId="0" applyFont="1" applyFill="1" applyBorder="1" applyAlignment="1">
      <alignment horizontal="center" vertical="center" wrapText="1"/>
    </xf>
    <xf numFmtId="0" fontId="10" fillId="10" borderId="53" xfId="0" applyFont="1" applyFill="1" applyBorder="1" applyAlignment="1">
      <alignment horizontal="center" vertical="center" wrapText="1"/>
    </xf>
    <xf numFmtId="0" fontId="10" fillId="10" borderId="60" xfId="0" applyFont="1" applyFill="1" applyBorder="1" applyAlignment="1">
      <alignment horizontal="center" vertical="center" wrapText="1"/>
    </xf>
    <xf numFmtId="0" fontId="12" fillId="0" borderId="26" xfId="0" applyFont="1" applyFill="1" applyBorder="1" applyAlignment="1">
      <alignment horizontal="center" vertical="center" wrapText="1"/>
    </xf>
    <xf numFmtId="0" fontId="12" fillId="0" borderId="23" xfId="0" applyFont="1" applyFill="1" applyBorder="1" applyAlignment="1">
      <alignment horizontal="center" vertical="center" wrapText="1"/>
    </xf>
    <xf numFmtId="0" fontId="12" fillId="0" borderId="43" xfId="0" applyFont="1" applyFill="1" applyBorder="1" applyAlignment="1">
      <alignment horizontal="center" vertical="center" wrapText="1"/>
    </xf>
    <xf numFmtId="0" fontId="12" fillId="0" borderId="17" xfId="0" applyFont="1" applyFill="1" applyBorder="1" applyAlignment="1">
      <alignment horizontal="center" vertical="center" wrapText="1"/>
    </xf>
    <xf numFmtId="0" fontId="12" fillId="0" borderId="20" xfId="0" applyFont="1" applyFill="1" applyBorder="1" applyAlignment="1">
      <alignment horizontal="center" vertical="center" wrapText="1"/>
    </xf>
    <xf numFmtId="0" fontId="12" fillId="0" borderId="26" xfId="0" applyFont="1" applyFill="1" applyBorder="1" applyAlignment="1">
      <alignment horizontal="left" vertical="center" wrapText="1"/>
    </xf>
    <xf numFmtId="0" fontId="12" fillId="0" borderId="23" xfId="0" applyFont="1" applyFill="1" applyBorder="1" applyAlignment="1">
      <alignment horizontal="left" vertical="center" wrapText="1"/>
    </xf>
    <xf numFmtId="0" fontId="12" fillId="0" borderId="43" xfId="0" applyFont="1" applyFill="1" applyBorder="1" applyAlignment="1">
      <alignment horizontal="left" vertical="center" wrapText="1"/>
    </xf>
    <xf numFmtId="0" fontId="12" fillId="0" borderId="44" xfId="0" applyFont="1" applyFill="1" applyBorder="1" applyAlignment="1">
      <alignment horizontal="left" vertical="center" wrapText="1"/>
    </xf>
    <xf numFmtId="0" fontId="12" fillId="0" borderId="44" xfId="0" applyFont="1" applyFill="1" applyBorder="1" applyAlignment="1">
      <alignment horizontal="center" vertical="center" wrapText="1"/>
    </xf>
    <xf numFmtId="0" fontId="10" fillId="3" borderId="5" xfId="0" applyFont="1" applyFill="1" applyBorder="1" applyAlignment="1">
      <alignment horizontal="center" vertical="center" wrapText="1"/>
    </xf>
    <xf numFmtId="0" fontId="10" fillId="3" borderId="43" xfId="0" applyFont="1" applyFill="1" applyBorder="1" applyAlignment="1">
      <alignment horizontal="center" vertical="center" wrapText="1"/>
    </xf>
    <xf numFmtId="0" fontId="10" fillId="3" borderId="23"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43" xfId="0" applyFont="1" applyFill="1" applyBorder="1" applyAlignment="1">
      <alignment horizontal="center" vertical="center" wrapText="1"/>
    </xf>
    <xf numFmtId="0" fontId="10" fillId="7" borderId="23" xfId="0" applyFont="1" applyFill="1" applyBorder="1" applyAlignment="1">
      <alignment horizontal="center" vertical="center" wrapText="1"/>
    </xf>
    <xf numFmtId="0" fontId="10" fillId="8" borderId="26" xfId="0" applyFont="1" applyFill="1" applyBorder="1" applyAlignment="1">
      <alignment horizontal="center" vertical="center" wrapText="1"/>
    </xf>
    <xf numFmtId="0" fontId="10" fillId="8" borderId="43" xfId="0" applyFont="1" applyFill="1" applyBorder="1" applyAlignment="1">
      <alignment horizontal="center" vertical="center" wrapText="1"/>
    </xf>
    <xf numFmtId="0" fontId="10" fillId="8" borderId="23" xfId="0" applyFont="1" applyFill="1" applyBorder="1" applyAlignment="1">
      <alignment horizontal="center" vertical="center" wrapText="1"/>
    </xf>
    <xf numFmtId="0" fontId="10" fillId="9" borderId="26" xfId="0" applyFont="1" applyFill="1" applyBorder="1" applyAlignment="1">
      <alignment horizontal="center" vertical="center" wrapText="1"/>
    </xf>
    <xf numFmtId="0" fontId="10" fillId="9" borderId="43" xfId="0" applyFont="1" applyFill="1" applyBorder="1" applyAlignment="1">
      <alignment horizontal="center" vertical="center" wrapText="1"/>
    </xf>
    <xf numFmtId="0" fontId="10" fillId="9" borderId="23" xfId="0" applyFont="1" applyFill="1" applyBorder="1" applyAlignment="1">
      <alignment horizontal="center" vertical="center" wrapText="1"/>
    </xf>
    <xf numFmtId="0" fontId="10" fillId="10" borderId="26" xfId="0" applyFont="1" applyFill="1" applyBorder="1" applyAlignment="1">
      <alignment horizontal="center" vertical="center" wrapText="1"/>
    </xf>
    <xf numFmtId="0" fontId="10" fillId="10" borderId="44" xfId="0" applyFont="1" applyFill="1" applyBorder="1" applyAlignment="1">
      <alignment horizontal="center" vertical="center" wrapText="1"/>
    </xf>
    <xf numFmtId="0" fontId="10" fillId="3" borderId="28" xfId="0" applyFont="1" applyFill="1" applyBorder="1" applyAlignment="1">
      <alignment horizontal="center" vertical="center" wrapText="1"/>
    </xf>
    <xf numFmtId="0" fontId="10" fillId="3" borderId="53" xfId="0" applyFont="1" applyFill="1" applyBorder="1" applyAlignment="1">
      <alignment horizontal="center" vertical="center" wrapText="1"/>
    </xf>
    <xf numFmtId="0" fontId="10" fillId="3" borderId="55" xfId="0" applyFont="1" applyFill="1" applyBorder="1" applyAlignment="1">
      <alignment horizontal="center" vertical="center" wrapText="1"/>
    </xf>
    <xf numFmtId="0" fontId="10" fillId="7" borderId="51" xfId="0" applyFont="1" applyFill="1" applyBorder="1" applyAlignment="1">
      <alignment horizontal="center" vertical="center" wrapText="1"/>
    </xf>
    <xf numFmtId="0" fontId="10" fillId="7" borderId="53" xfId="0" applyFont="1" applyFill="1" applyBorder="1" applyAlignment="1">
      <alignment horizontal="center" vertical="center" wrapText="1"/>
    </xf>
    <xf numFmtId="0" fontId="10" fillId="7" borderId="55" xfId="0" applyFont="1" applyFill="1" applyBorder="1" applyAlignment="1">
      <alignment horizontal="center" vertical="center" wrapText="1"/>
    </xf>
    <xf numFmtId="0" fontId="10" fillId="8" borderId="51" xfId="0" applyFont="1" applyFill="1" applyBorder="1" applyAlignment="1">
      <alignment horizontal="center" vertical="center" wrapText="1"/>
    </xf>
    <xf numFmtId="0" fontId="10" fillId="8" borderId="53" xfId="0" applyFont="1" applyFill="1" applyBorder="1" applyAlignment="1">
      <alignment horizontal="center" vertical="center" wrapText="1"/>
    </xf>
    <xf numFmtId="0" fontId="10" fillId="8" borderId="55"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9" borderId="55" xfId="0" applyFont="1" applyFill="1" applyBorder="1" applyAlignment="1">
      <alignment horizontal="center" vertical="center" wrapText="1"/>
    </xf>
    <xf numFmtId="0" fontId="10" fillId="10" borderId="49"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0" borderId="10" xfId="0" applyFont="1" applyFill="1" applyBorder="1" applyAlignment="1">
      <alignment horizontal="center" vertical="center" wrapText="1"/>
    </xf>
    <xf numFmtId="0" fontId="12" fillId="11" borderId="26" xfId="0" applyFont="1" applyFill="1" applyBorder="1" applyAlignment="1">
      <alignment horizontal="left" vertical="center" wrapText="1"/>
    </xf>
    <xf numFmtId="0" fontId="12" fillId="11" borderId="23" xfId="0" applyFont="1" applyFill="1" applyBorder="1" applyAlignment="1">
      <alignment horizontal="left" vertical="center" wrapText="1"/>
    </xf>
    <xf numFmtId="0" fontId="12" fillId="11" borderId="26" xfId="0" applyFont="1" applyFill="1" applyBorder="1" applyAlignment="1">
      <alignment horizontal="left" vertical="top" wrapText="1"/>
    </xf>
    <xf numFmtId="0" fontId="12" fillId="11" borderId="23" xfId="0" applyFont="1" applyFill="1" applyBorder="1" applyAlignment="1">
      <alignment horizontal="left" vertical="top" wrapText="1"/>
    </xf>
    <xf numFmtId="0" fontId="12" fillId="11" borderId="5" xfId="0" applyFont="1" applyFill="1" applyBorder="1" applyAlignment="1">
      <alignment horizontal="left" vertical="top" wrapText="1"/>
    </xf>
    <xf numFmtId="0" fontId="12" fillId="11" borderId="43" xfId="0" applyFont="1" applyFill="1" applyBorder="1" applyAlignment="1">
      <alignment horizontal="left" vertical="top" wrapText="1"/>
    </xf>
    <xf numFmtId="0" fontId="12" fillId="11" borderId="5" xfId="0" applyFont="1" applyFill="1" applyBorder="1" applyAlignment="1">
      <alignment horizontal="left" vertical="center" wrapText="1"/>
    </xf>
    <xf numFmtId="0" fontId="12" fillId="11" borderId="43" xfId="0" applyFont="1" applyFill="1" applyBorder="1" applyAlignment="1">
      <alignment horizontal="left" vertical="center" wrapText="1"/>
    </xf>
    <xf numFmtId="0" fontId="9" fillId="0" borderId="5" xfId="0" applyFont="1" applyFill="1" applyBorder="1" applyAlignment="1">
      <alignment horizontal="center" vertical="center" wrapText="1"/>
    </xf>
    <xf numFmtId="0" fontId="9" fillId="0" borderId="43" xfId="0" applyFont="1" applyFill="1" applyBorder="1" applyAlignment="1">
      <alignment horizontal="center" vertical="center" wrapText="1"/>
    </xf>
    <xf numFmtId="0" fontId="9" fillId="0" borderId="23" xfId="0" applyFont="1" applyFill="1" applyBorder="1" applyAlignment="1">
      <alignment horizontal="center" vertical="center" wrapText="1"/>
    </xf>
    <xf numFmtId="0" fontId="9" fillId="0" borderId="26" xfId="0" applyFont="1" applyFill="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2" xfId="0" applyFont="1" applyBorder="1" applyAlignment="1">
      <alignment horizontal="center" vertical="center" wrapText="1"/>
    </xf>
    <xf numFmtId="0" fontId="11" fillId="0" borderId="38" xfId="0" applyFont="1" applyBorder="1" applyAlignment="1">
      <alignment horizontal="center" vertical="center" wrapText="1"/>
    </xf>
    <xf numFmtId="0" fontId="11" fillId="0" borderId="33" xfId="0" applyFont="1" applyBorder="1" applyAlignment="1">
      <alignment horizontal="center" vertical="center" wrapText="1"/>
    </xf>
    <xf numFmtId="0" fontId="11" fillId="0" borderId="32" xfId="0" applyFont="1" applyBorder="1" applyAlignment="1">
      <alignment horizontal="center" vertical="center" wrapText="1"/>
    </xf>
    <xf numFmtId="0" fontId="10" fillId="6" borderId="1" xfId="0" applyFont="1" applyFill="1" applyBorder="1" applyAlignment="1">
      <alignment horizontal="left" vertical="center" wrapText="1"/>
    </xf>
    <xf numFmtId="0" fontId="10" fillId="6" borderId="37" xfId="0" applyFont="1" applyFill="1" applyBorder="1" applyAlignment="1">
      <alignment horizontal="left" vertical="center" wrapText="1"/>
    </xf>
    <xf numFmtId="0" fontId="10" fillId="6" borderId="9" xfId="0" applyFont="1" applyFill="1" applyBorder="1" applyAlignment="1">
      <alignment horizontal="left" vertical="center" wrapText="1"/>
    </xf>
    <xf numFmtId="0" fontId="12" fillId="6" borderId="4" xfId="0" applyFont="1" applyFill="1" applyBorder="1" applyAlignment="1">
      <alignment horizontal="left" vertical="center" wrapText="1"/>
    </xf>
    <xf numFmtId="0" fontId="12" fillId="6" borderId="29" xfId="0" applyFont="1" applyFill="1" applyBorder="1" applyAlignment="1">
      <alignment horizontal="left" vertical="center" wrapText="1"/>
    </xf>
    <xf numFmtId="0" fontId="12" fillId="6" borderId="30" xfId="0" applyFont="1" applyFill="1" applyBorder="1" applyAlignment="1">
      <alignment horizontal="left" vertical="center" wrapText="1"/>
    </xf>
    <xf numFmtId="0" fontId="10" fillId="6" borderId="4" xfId="0" applyFont="1" applyFill="1" applyBorder="1" applyAlignment="1">
      <alignment horizontal="left" vertical="center" wrapText="1"/>
    </xf>
    <xf numFmtId="0" fontId="10" fillId="6" borderId="29" xfId="0" applyFont="1" applyFill="1" applyBorder="1" applyAlignment="1">
      <alignment horizontal="left" vertical="center" wrapText="1"/>
    </xf>
    <xf numFmtId="0" fontId="10" fillId="6" borderId="30" xfId="0" applyFont="1" applyFill="1" applyBorder="1" applyAlignment="1">
      <alignment horizontal="left" vertical="center" wrapText="1"/>
    </xf>
    <xf numFmtId="0" fontId="14" fillId="0" borderId="37" xfId="0" applyFont="1" applyBorder="1" applyAlignment="1">
      <alignment horizontal="left" vertical="top" wrapText="1"/>
    </xf>
    <xf numFmtId="0" fontId="14" fillId="0" borderId="0" xfId="0" applyFont="1" applyBorder="1" applyAlignment="1">
      <alignment horizontal="left" vertical="top" wrapText="1"/>
    </xf>
    <xf numFmtId="0" fontId="14" fillId="0" borderId="39" xfId="0" applyFont="1" applyBorder="1" applyAlignment="1">
      <alignment horizontal="left" vertical="top" wrapText="1"/>
    </xf>
    <xf numFmtId="0" fontId="14" fillId="0" borderId="56" xfId="0" applyFont="1" applyBorder="1" applyAlignment="1">
      <alignment horizontal="left" vertical="top" wrapText="1"/>
    </xf>
    <xf numFmtId="0" fontId="14" fillId="0" borderId="49" xfId="0" applyFont="1" applyBorder="1" applyAlignment="1">
      <alignment horizontal="left" vertical="top" wrapText="1"/>
    </xf>
    <xf numFmtId="0" fontId="14" fillId="0" borderId="40" xfId="0" applyFont="1" applyBorder="1" applyAlignment="1">
      <alignment horizontal="left" vertical="top" wrapText="1"/>
    </xf>
    <xf numFmtId="0" fontId="12" fillId="0" borderId="27" xfId="0" applyFont="1" applyBorder="1" applyAlignment="1">
      <alignment horizontal="left" vertical="top"/>
    </xf>
    <xf numFmtId="0" fontId="12" fillId="0" borderId="6" xfId="0" applyFont="1" applyBorder="1" applyAlignment="1">
      <alignment horizontal="left" vertical="top"/>
    </xf>
    <xf numFmtId="0" fontId="12" fillId="0" borderId="24" xfId="0" applyFont="1" applyBorder="1" applyAlignment="1">
      <alignment horizontal="left" vertical="top"/>
    </xf>
    <xf numFmtId="0" fontId="10" fillId="10" borderId="17" xfId="0" applyFont="1" applyFill="1" applyBorder="1" applyAlignment="1">
      <alignment horizontal="center" vertical="center"/>
    </xf>
    <xf numFmtId="0" fontId="10" fillId="10" borderId="20" xfId="0" applyFont="1" applyFill="1" applyBorder="1" applyAlignment="1">
      <alignment horizontal="center" vertical="center"/>
    </xf>
    <xf numFmtId="0" fontId="10" fillId="3" borderId="14" xfId="0" applyFont="1" applyFill="1" applyBorder="1" applyAlignment="1">
      <alignment horizontal="center" vertical="center"/>
    </xf>
    <xf numFmtId="0" fontId="10" fillId="3" borderId="17" xfId="0" applyFont="1" applyFill="1" applyBorder="1" applyAlignment="1">
      <alignment horizontal="center" vertical="center"/>
    </xf>
    <xf numFmtId="0" fontId="10" fillId="9" borderId="17" xfId="0" applyFont="1" applyFill="1" applyBorder="1" applyAlignment="1">
      <alignment horizontal="center" vertical="center"/>
    </xf>
    <xf numFmtId="0" fontId="10" fillId="7" borderId="26" xfId="0" applyFont="1" applyFill="1" applyBorder="1" applyAlignment="1">
      <alignment horizontal="center" vertical="center"/>
    </xf>
    <xf numFmtId="0" fontId="10" fillId="7" borderId="43" xfId="0" applyFont="1" applyFill="1" applyBorder="1" applyAlignment="1">
      <alignment horizontal="center" vertical="center"/>
    </xf>
    <xf numFmtId="0" fontId="10" fillId="7" borderId="23" xfId="0" applyFont="1" applyFill="1" applyBorder="1" applyAlignment="1">
      <alignment horizontal="center" vertical="center"/>
    </xf>
    <xf numFmtId="0" fontId="10" fillId="8" borderId="17" xfId="0" applyFont="1" applyFill="1" applyBorder="1" applyAlignment="1">
      <alignment horizontal="center" vertical="center"/>
    </xf>
    <xf numFmtId="0" fontId="12" fillId="0" borderId="26" xfId="0" applyFont="1" applyBorder="1" applyAlignment="1">
      <alignment horizontal="left" vertical="top" wrapText="1"/>
    </xf>
    <xf numFmtId="0" fontId="12" fillId="0" borderId="23" xfId="0" applyFont="1" applyBorder="1" applyAlignment="1">
      <alignment horizontal="left" vertical="top" wrapText="1"/>
    </xf>
    <xf numFmtId="0" fontId="12" fillId="0" borderId="44" xfId="0" applyFont="1" applyBorder="1" applyAlignment="1">
      <alignment horizontal="left" vertical="top" wrapText="1"/>
    </xf>
    <xf numFmtId="0" fontId="12" fillId="11" borderId="15" xfId="0" applyFont="1" applyFill="1" applyBorder="1" applyAlignment="1">
      <alignment horizontal="left" vertical="top" wrapText="1"/>
    </xf>
    <xf numFmtId="0" fontId="12" fillId="11" borderId="18" xfId="0" applyFont="1" applyFill="1" applyBorder="1" applyAlignment="1">
      <alignment horizontal="left" vertical="top" wrapText="1"/>
    </xf>
    <xf numFmtId="0" fontId="12" fillId="11" borderId="6" xfId="0" applyFont="1" applyFill="1" applyBorder="1" applyAlignment="1">
      <alignment horizontal="left" vertical="top" wrapText="1"/>
    </xf>
    <xf numFmtId="0" fontId="12" fillId="11" borderId="46" xfId="0" applyFont="1" applyFill="1" applyBorder="1" applyAlignment="1">
      <alignment horizontal="left" vertical="top" wrapText="1"/>
    </xf>
    <xf numFmtId="0" fontId="12" fillId="11" borderId="24" xfId="0" applyFont="1" applyFill="1" applyBorder="1" applyAlignment="1">
      <alignment horizontal="left" vertical="top" wrapText="1"/>
    </xf>
    <xf numFmtId="0" fontId="12" fillId="11" borderId="27" xfId="0" applyFont="1" applyFill="1" applyBorder="1" applyAlignment="1">
      <alignment horizontal="left" vertical="top" wrapText="1"/>
    </xf>
    <xf numFmtId="0" fontId="27" fillId="0" borderId="26" xfId="0" applyFont="1" applyFill="1" applyBorder="1" applyAlignment="1">
      <alignment horizontal="center" vertical="center"/>
    </xf>
    <xf numFmtId="0" fontId="27" fillId="0" borderId="43" xfId="0" applyFont="1" applyFill="1" applyBorder="1" applyAlignment="1">
      <alignment horizontal="center" vertical="center"/>
    </xf>
    <xf numFmtId="0" fontId="27" fillId="0" borderId="23" xfId="0" applyFont="1" applyFill="1" applyBorder="1" applyAlignment="1">
      <alignment horizontal="center" vertical="center"/>
    </xf>
    <xf numFmtId="0" fontId="9" fillId="0" borderId="26" xfId="0" applyFont="1" applyFill="1" applyBorder="1" applyAlignment="1">
      <alignment horizontal="center" vertical="center"/>
    </xf>
    <xf numFmtId="0" fontId="9" fillId="0" borderId="43" xfId="0" applyFont="1" applyFill="1" applyBorder="1" applyAlignment="1">
      <alignment horizontal="center" vertical="center"/>
    </xf>
    <xf numFmtId="0" fontId="9" fillId="0" borderId="44" xfId="0" applyFont="1" applyFill="1" applyBorder="1" applyAlignment="1">
      <alignment horizontal="center" vertical="center"/>
    </xf>
    <xf numFmtId="0" fontId="12" fillId="11" borderId="14" xfId="0" applyFont="1" applyFill="1" applyBorder="1" applyAlignment="1">
      <alignment vertical="center" wrapText="1"/>
    </xf>
    <xf numFmtId="0" fontId="12" fillId="11" borderId="17" xfId="0" applyFont="1" applyFill="1" applyBorder="1" applyAlignment="1">
      <alignment vertical="center" wrapText="1"/>
    </xf>
    <xf numFmtId="0" fontId="12" fillId="11" borderId="17" xfId="0" applyFont="1" applyFill="1" applyBorder="1" applyAlignment="1">
      <alignment horizontal="left" vertical="center" wrapText="1"/>
    </xf>
    <xf numFmtId="0" fontId="12" fillId="0" borderId="17" xfId="0" applyFont="1" applyBorder="1" applyAlignment="1">
      <alignment vertical="center" wrapText="1"/>
    </xf>
    <xf numFmtId="0" fontId="12" fillId="0" borderId="20" xfId="0" applyFont="1" applyBorder="1" applyAlignment="1">
      <alignment vertical="center" wrapText="1"/>
    </xf>
    <xf numFmtId="0" fontId="12" fillId="11" borderId="26" xfId="0" applyFont="1" applyFill="1" applyBorder="1" applyAlignment="1">
      <alignment vertical="center" wrapText="1"/>
    </xf>
    <xf numFmtId="0" fontId="12" fillId="11" borderId="23" xfId="0" applyFont="1" applyFill="1" applyBorder="1" applyAlignment="1">
      <alignment vertical="center" wrapText="1"/>
    </xf>
    <xf numFmtId="0" fontId="12" fillId="11" borderId="26" xfId="0" applyFont="1" applyFill="1" applyBorder="1" applyAlignment="1">
      <alignment horizontal="center" vertical="center" wrapText="1"/>
    </xf>
    <xf numFmtId="0" fontId="12" fillId="11" borderId="43" xfId="0" applyFont="1" applyFill="1" applyBorder="1" applyAlignment="1">
      <alignment horizontal="center" vertical="center" wrapText="1"/>
    </xf>
    <xf numFmtId="0" fontId="12" fillId="11" borderId="23" xfId="0" applyFont="1" applyFill="1" applyBorder="1" applyAlignment="1">
      <alignment horizontal="center" vertical="center" wrapText="1"/>
    </xf>
    <xf numFmtId="0" fontId="12" fillId="0" borderId="43" xfId="0" applyFont="1" applyBorder="1" applyAlignment="1">
      <alignment horizontal="left" vertical="center" wrapText="1"/>
    </xf>
    <xf numFmtId="0" fontId="12" fillId="0" borderId="44" xfId="0" applyFont="1" applyBorder="1" applyAlignment="1">
      <alignment horizontal="left" vertical="center" wrapText="1"/>
    </xf>
    <xf numFmtId="0" fontId="10" fillId="7" borderId="17" xfId="0" applyFont="1" applyFill="1" applyBorder="1" applyAlignment="1">
      <alignment horizontal="center" vertical="center"/>
    </xf>
    <xf numFmtId="0" fontId="9" fillId="0" borderId="5" xfId="0" applyFont="1" applyFill="1" applyBorder="1" applyAlignment="1">
      <alignment horizontal="center" vertical="center"/>
    </xf>
    <xf numFmtId="0" fontId="9" fillId="0" borderId="23" xfId="0" applyFont="1" applyFill="1" applyBorder="1" applyAlignment="1">
      <alignment horizontal="center" vertical="center"/>
    </xf>
    <xf numFmtId="0" fontId="12" fillId="0" borderId="26" xfId="0" applyFont="1" applyFill="1" applyBorder="1" applyAlignment="1">
      <alignment horizontal="center" vertical="center"/>
    </xf>
    <xf numFmtId="0" fontId="12" fillId="0" borderId="23" xfId="0" applyFont="1" applyFill="1" applyBorder="1" applyAlignment="1">
      <alignment horizontal="center" vertical="center"/>
    </xf>
    <xf numFmtId="0" fontId="12" fillId="0" borderId="43" xfId="0" applyFont="1" applyFill="1" applyBorder="1" applyAlignment="1">
      <alignment horizontal="center" vertical="center"/>
    </xf>
    <xf numFmtId="0" fontId="12" fillId="0" borderId="44" xfId="0" applyFont="1" applyFill="1" applyBorder="1" applyAlignment="1">
      <alignment horizontal="center" vertical="center"/>
    </xf>
    <xf numFmtId="0" fontId="12" fillId="0" borderId="5" xfId="0" applyFont="1" applyFill="1" applyBorder="1" applyAlignment="1">
      <alignment horizontal="center" vertical="center"/>
    </xf>
    <xf numFmtId="0" fontId="10" fillId="3" borderId="5" xfId="0" applyFont="1" applyFill="1" applyBorder="1" applyAlignment="1">
      <alignment horizontal="center" vertical="center"/>
    </xf>
    <xf numFmtId="0" fontId="10" fillId="3" borderId="43" xfId="0" applyFont="1" applyFill="1" applyBorder="1" applyAlignment="1">
      <alignment horizontal="center" vertical="center"/>
    </xf>
    <xf numFmtId="0" fontId="10" fillId="3" borderId="23" xfId="0" applyFont="1" applyFill="1" applyBorder="1" applyAlignment="1">
      <alignment horizontal="center" vertical="center"/>
    </xf>
    <xf numFmtId="0" fontId="10" fillId="8" borderId="26" xfId="0" applyFont="1" applyFill="1" applyBorder="1" applyAlignment="1">
      <alignment horizontal="center" vertical="center"/>
    </xf>
    <xf numFmtId="0" fontId="10" fillId="8" borderId="43" xfId="0" applyFont="1" applyFill="1" applyBorder="1" applyAlignment="1">
      <alignment horizontal="center" vertical="center"/>
    </xf>
    <xf numFmtId="0" fontId="10" fillId="8" borderId="23" xfId="0" applyFont="1" applyFill="1" applyBorder="1" applyAlignment="1">
      <alignment horizontal="center" vertical="center"/>
    </xf>
    <xf numFmtId="0" fontId="10" fillId="9" borderId="26" xfId="0" applyFont="1" applyFill="1" applyBorder="1" applyAlignment="1">
      <alignment horizontal="center" vertical="center"/>
    </xf>
    <xf numFmtId="0" fontId="10" fillId="9" borderId="23" xfId="0" applyFont="1" applyFill="1" applyBorder="1" applyAlignment="1">
      <alignment horizontal="center" vertical="center"/>
    </xf>
    <xf numFmtId="0" fontId="12" fillId="0" borderId="26" xfId="0" applyFont="1" applyBorder="1" applyAlignment="1">
      <alignment horizontal="left" vertical="center" wrapText="1"/>
    </xf>
    <xf numFmtId="0" fontId="12" fillId="0" borderId="23" xfId="0" applyFont="1" applyBorder="1" applyAlignment="1">
      <alignment horizontal="left" vertical="center" wrapText="1"/>
    </xf>
    <xf numFmtId="0" fontId="12" fillId="0" borderId="5" xfId="0" applyFont="1" applyBorder="1" applyAlignment="1">
      <alignment horizontal="left" vertical="top" wrapText="1"/>
    </xf>
    <xf numFmtId="0" fontId="12" fillId="0" borderId="43" xfId="0" applyFont="1" applyBorder="1" applyAlignment="1">
      <alignment horizontal="left" vertical="top" wrapText="1"/>
    </xf>
    <xf numFmtId="0" fontId="12" fillId="0" borderId="20" xfId="0" applyFont="1" applyFill="1" applyBorder="1" applyAlignment="1">
      <alignment horizontal="left" vertical="center" wrapText="1"/>
    </xf>
    <xf numFmtId="0" fontId="12" fillId="0" borderId="5" xfId="0" applyFont="1" applyBorder="1" applyAlignment="1">
      <alignment horizontal="left" vertical="center" wrapText="1"/>
    </xf>
    <xf numFmtId="0" fontId="12" fillId="0" borderId="26" xfId="0" applyFont="1" applyFill="1" applyBorder="1" applyAlignment="1">
      <alignment horizontal="left" vertical="center"/>
    </xf>
    <xf numFmtId="0" fontId="12" fillId="0" borderId="23" xfId="0" applyFont="1" applyFill="1" applyBorder="1" applyAlignment="1">
      <alignment horizontal="left" vertical="center"/>
    </xf>
    <xf numFmtId="0" fontId="12" fillId="0" borderId="43" xfId="0" applyFont="1" applyFill="1" applyBorder="1" applyAlignment="1">
      <alignment horizontal="left" vertical="center"/>
    </xf>
    <xf numFmtId="0" fontId="12" fillId="0" borderId="5" xfId="0" applyFont="1" applyFill="1" applyBorder="1" applyAlignment="1">
      <alignment horizontal="left" vertical="center"/>
    </xf>
    <xf numFmtId="0" fontId="10" fillId="0" borderId="56" xfId="0" applyFont="1" applyBorder="1" applyAlignment="1">
      <alignment horizontal="left" vertical="top" wrapText="1"/>
    </xf>
    <xf numFmtId="0" fontId="10" fillId="0" borderId="49" xfId="0" applyFont="1" applyBorder="1" applyAlignment="1">
      <alignment horizontal="left" vertical="top" wrapText="1"/>
    </xf>
    <xf numFmtId="0" fontId="10" fillId="0" borderId="40" xfId="0" applyFont="1" applyBorder="1" applyAlignment="1">
      <alignment horizontal="left" vertical="top" wrapText="1"/>
    </xf>
    <xf numFmtId="0" fontId="10" fillId="0" borderId="9" xfId="0" applyFont="1" applyBorder="1" applyAlignment="1">
      <alignment horizontal="left" vertical="top" wrapText="1"/>
    </xf>
    <xf numFmtId="0" fontId="10" fillId="0" borderId="10" xfId="0" applyFont="1" applyBorder="1" applyAlignment="1">
      <alignment horizontal="left" vertical="top" wrapText="1"/>
    </xf>
    <xf numFmtId="0" fontId="10" fillId="0" borderId="11" xfId="0" applyFont="1" applyBorder="1" applyAlignment="1">
      <alignment horizontal="left" vertical="top" wrapText="1"/>
    </xf>
    <xf numFmtId="0" fontId="12" fillId="0" borderId="47" xfId="0" applyFont="1" applyBorder="1" applyAlignment="1">
      <alignment horizontal="left" vertical="top" wrapText="1"/>
    </xf>
    <xf numFmtId="0" fontId="10" fillId="0" borderId="1" xfId="0" applyFont="1" applyBorder="1" applyAlignment="1">
      <alignment horizontal="left" vertical="top" wrapText="1"/>
    </xf>
    <xf numFmtId="0" fontId="10" fillId="0" borderId="2" xfId="0" applyFont="1" applyBorder="1" applyAlignment="1">
      <alignment horizontal="left" vertical="top" wrapText="1"/>
    </xf>
    <xf numFmtId="0" fontId="10" fillId="0" borderId="3" xfId="0" applyFont="1" applyBorder="1" applyAlignment="1">
      <alignment horizontal="left" vertical="top" wrapText="1"/>
    </xf>
    <xf numFmtId="0" fontId="10" fillId="0" borderId="41" xfId="0" applyFont="1" applyBorder="1" applyAlignment="1">
      <alignment horizontal="left" vertical="top" wrapText="1"/>
    </xf>
    <xf numFmtId="0" fontId="10" fillId="0" borderId="42" xfId="0" applyFont="1" applyBorder="1" applyAlignment="1">
      <alignment horizontal="left" vertical="top" wrapText="1"/>
    </xf>
    <xf numFmtId="0" fontId="10" fillId="0" borderId="45" xfId="0" applyFont="1" applyBorder="1" applyAlignment="1">
      <alignment horizontal="left" vertical="top" wrapText="1"/>
    </xf>
    <xf numFmtId="0" fontId="10" fillId="11" borderId="27" xfId="0" applyFont="1" applyFill="1" applyBorder="1" applyAlignment="1">
      <alignment horizontal="left" vertical="top" wrapText="1"/>
    </xf>
    <xf numFmtId="0" fontId="10" fillId="11" borderId="24" xfId="0" applyFont="1" applyFill="1" applyBorder="1" applyAlignment="1">
      <alignment horizontal="left" vertical="top" wrapText="1"/>
    </xf>
    <xf numFmtId="0" fontId="10" fillId="0" borderId="38" xfId="0" applyFont="1" applyBorder="1" applyAlignment="1">
      <alignment horizontal="center" vertical="center" wrapText="1"/>
    </xf>
    <xf numFmtId="0" fontId="10" fillId="0" borderId="33" xfId="0" applyFont="1" applyBorder="1" applyAlignment="1">
      <alignment horizontal="center" vertical="center" wrapText="1"/>
    </xf>
    <xf numFmtId="0" fontId="10" fillId="0" borderId="32"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48" xfId="0" applyFont="1" applyBorder="1" applyAlignment="1">
      <alignment horizontal="center" vertical="center" wrapText="1"/>
    </xf>
    <xf numFmtId="0" fontId="10" fillId="0" borderId="28" xfId="0" applyFont="1" applyBorder="1" applyAlignment="1">
      <alignment horizontal="center" vertical="center" wrapText="1"/>
    </xf>
    <xf numFmtId="0" fontId="10" fillId="6" borderId="13" xfId="0" applyFont="1" applyFill="1" applyBorder="1" applyAlignment="1">
      <alignment horizontal="left" vertical="center" wrapText="1"/>
    </xf>
    <xf numFmtId="0" fontId="10" fillId="6" borderId="16" xfId="0" applyFont="1" applyFill="1" applyBorder="1" applyAlignment="1">
      <alignment horizontal="left" vertical="center" wrapText="1"/>
    </xf>
    <xf numFmtId="0" fontId="10" fillId="6" borderId="19" xfId="0" applyFont="1" applyFill="1" applyBorder="1" applyAlignment="1">
      <alignment horizontal="left" vertical="center" wrapText="1"/>
    </xf>
    <xf numFmtId="0" fontId="12" fillId="11" borderId="27" xfId="0" applyFont="1" applyFill="1" applyBorder="1" applyAlignment="1">
      <alignment horizontal="center" vertical="center" wrapText="1"/>
    </xf>
    <xf numFmtId="0" fontId="12" fillId="11" borderId="46" xfId="0" applyFont="1" applyFill="1" applyBorder="1" applyAlignment="1">
      <alignment horizontal="center" vertical="center" wrapText="1"/>
    </xf>
    <xf numFmtId="0" fontId="12" fillId="11" borderId="24" xfId="0" applyFont="1" applyFill="1" applyBorder="1" applyAlignment="1">
      <alignment horizontal="center" vertical="center" wrapText="1"/>
    </xf>
    <xf numFmtId="0" fontId="12" fillId="0" borderId="47" xfId="0" applyFont="1" applyBorder="1" applyAlignment="1">
      <alignment horizontal="center" vertical="center" wrapText="1"/>
    </xf>
    <xf numFmtId="0" fontId="10" fillId="9" borderId="17" xfId="0" applyFont="1" applyFill="1" applyBorder="1" applyAlignment="1">
      <alignment horizontal="center" vertical="center" wrapText="1"/>
    </xf>
    <xf numFmtId="0" fontId="10" fillId="10" borderId="17" xfId="0" applyFont="1" applyFill="1" applyBorder="1" applyAlignment="1">
      <alignment horizontal="center" vertical="center" wrapText="1"/>
    </xf>
    <xf numFmtId="0" fontId="10" fillId="10" borderId="20" xfId="0" applyFont="1" applyFill="1" applyBorder="1" applyAlignment="1">
      <alignment horizontal="center" vertical="center" wrapText="1"/>
    </xf>
    <xf numFmtId="0" fontId="12" fillId="0" borderId="44" xfId="0" applyFont="1" applyBorder="1" applyAlignment="1">
      <alignment vertical="center" wrapText="1"/>
    </xf>
    <xf numFmtId="0" fontId="12" fillId="11" borderId="17" xfId="0" applyFont="1" applyFill="1" applyBorder="1" applyAlignment="1">
      <alignment horizontal="left" vertical="top" wrapText="1"/>
    </xf>
    <xf numFmtId="0" fontId="26" fillId="11" borderId="43" xfId="0" applyFont="1" applyFill="1" applyBorder="1" applyAlignment="1">
      <alignment horizontal="left" vertical="center" wrapText="1"/>
    </xf>
    <xf numFmtId="0" fontId="26" fillId="11" borderId="23" xfId="0" applyFont="1" applyFill="1" applyBorder="1" applyAlignment="1">
      <alignment horizontal="left" vertical="center" wrapText="1"/>
    </xf>
    <xf numFmtId="0" fontId="10" fillId="7" borderId="17" xfId="0" applyFont="1" applyFill="1" applyBorder="1" applyAlignment="1">
      <alignment horizontal="center" vertical="center" wrapText="1"/>
    </xf>
    <xf numFmtId="0" fontId="10" fillId="0" borderId="8" xfId="0" applyFont="1" applyBorder="1" applyAlignment="1">
      <alignment horizontal="center" vertical="center" wrapText="1"/>
    </xf>
    <xf numFmtId="0" fontId="10" fillId="0" borderId="57" xfId="0" applyFont="1" applyBorder="1" applyAlignment="1">
      <alignment horizontal="center" vertical="center" wrapText="1"/>
    </xf>
    <xf numFmtId="0" fontId="10" fillId="0" borderId="12" xfId="0" applyFont="1" applyBorder="1" applyAlignment="1">
      <alignment horizontal="center" vertical="center" wrapText="1"/>
    </xf>
    <xf numFmtId="0" fontId="43" fillId="11" borderId="26" xfId="0" applyFont="1" applyFill="1" applyBorder="1" applyAlignment="1">
      <alignment horizontal="left" vertical="center" wrapText="1"/>
    </xf>
    <xf numFmtId="0" fontId="43" fillId="11" borderId="23" xfId="0" applyFont="1" applyFill="1" applyBorder="1" applyAlignment="1">
      <alignment horizontal="left" vertical="center" wrapText="1"/>
    </xf>
    <xf numFmtId="0" fontId="12" fillId="13" borderId="50" xfId="0" applyFont="1" applyFill="1" applyBorder="1" applyAlignment="1">
      <alignment horizontal="center" vertical="top" wrapText="1"/>
    </xf>
    <xf numFmtId="0" fontId="12" fillId="13" borderId="49" xfId="0" applyFont="1" applyFill="1" applyBorder="1" applyAlignment="1">
      <alignment horizontal="center" vertical="top" wrapText="1"/>
    </xf>
    <xf numFmtId="0" fontId="12" fillId="13" borderId="51" xfId="0" applyFont="1" applyFill="1" applyBorder="1" applyAlignment="1">
      <alignment horizontal="center" vertical="top" wrapText="1"/>
    </xf>
    <xf numFmtId="0" fontId="12" fillId="13" borderId="52" xfId="0" applyFont="1" applyFill="1" applyBorder="1" applyAlignment="1">
      <alignment horizontal="center" vertical="top" wrapText="1"/>
    </xf>
    <xf numFmtId="0" fontId="12" fillId="13" borderId="0" xfId="0" applyFont="1" applyFill="1" applyBorder="1" applyAlignment="1">
      <alignment horizontal="center" vertical="top" wrapText="1"/>
    </xf>
    <xf numFmtId="0" fontId="12" fillId="13" borderId="53" xfId="0" applyFont="1" applyFill="1" applyBorder="1" applyAlignment="1">
      <alignment horizontal="center" vertical="top" wrapText="1"/>
    </xf>
    <xf numFmtId="0" fontId="12" fillId="13" borderId="54" xfId="0" applyFont="1" applyFill="1" applyBorder="1" applyAlignment="1">
      <alignment horizontal="center" vertical="top" wrapText="1"/>
    </xf>
    <xf numFmtId="0" fontId="12" fillId="13" borderId="42" xfId="0" applyFont="1" applyFill="1" applyBorder="1" applyAlignment="1">
      <alignment horizontal="center" vertical="top" wrapText="1"/>
    </xf>
    <xf numFmtId="0" fontId="12" fillId="13" borderId="55" xfId="0" applyFont="1" applyFill="1" applyBorder="1" applyAlignment="1">
      <alignment horizontal="center" vertical="top" wrapText="1"/>
    </xf>
    <xf numFmtId="0" fontId="12" fillId="11" borderId="27" xfId="0" applyFont="1" applyFill="1" applyBorder="1" applyAlignment="1">
      <alignment horizontal="center" vertical="top" wrapText="1"/>
    </xf>
    <xf numFmtId="0" fontId="12" fillId="11" borderId="46" xfId="0" applyFont="1" applyFill="1" applyBorder="1" applyAlignment="1">
      <alignment horizontal="center" vertical="top" wrapText="1"/>
    </xf>
    <xf numFmtId="0" fontId="12" fillId="11" borderId="24" xfId="0" applyFont="1" applyFill="1" applyBorder="1" applyAlignment="1">
      <alignment horizontal="center" vertical="top" wrapText="1"/>
    </xf>
    <xf numFmtId="0" fontId="12" fillId="14" borderId="46" xfId="0" applyFont="1" applyFill="1" applyBorder="1" applyAlignment="1">
      <alignment horizontal="center" vertical="top" wrapText="1"/>
    </xf>
    <xf numFmtId="0" fontId="9" fillId="0" borderId="44" xfId="0" applyFont="1" applyFill="1" applyBorder="1" applyAlignment="1">
      <alignment horizontal="center" vertical="center" wrapText="1"/>
    </xf>
    <xf numFmtId="0" fontId="12" fillId="14" borderId="43" xfId="0" applyFont="1" applyFill="1" applyBorder="1" applyAlignment="1">
      <alignment horizontal="left" vertical="center" wrapText="1"/>
    </xf>
    <xf numFmtId="0" fontId="12" fillId="14" borderId="44" xfId="0" applyFont="1" applyFill="1" applyBorder="1" applyAlignment="1">
      <alignment horizontal="left" vertical="center" wrapText="1"/>
    </xf>
    <xf numFmtId="0" fontId="12" fillId="11" borderId="26" xfId="0" applyFont="1" applyFill="1" applyBorder="1" applyAlignment="1">
      <alignment horizontal="center" vertical="top" wrapText="1"/>
    </xf>
    <xf numFmtId="0" fontId="12" fillId="11" borderId="23" xfId="0" applyFont="1" applyFill="1" applyBorder="1" applyAlignment="1">
      <alignment horizontal="center" vertical="top" wrapText="1"/>
    </xf>
    <xf numFmtId="0" fontId="12" fillId="11" borderId="43" xfId="0" applyFont="1" applyFill="1" applyBorder="1" applyAlignment="1">
      <alignment horizontal="center" vertical="top" wrapText="1"/>
    </xf>
    <xf numFmtId="0" fontId="12" fillId="11" borderId="5" xfId="0" applyFont="1" applyFill="1" applyBorder="1" applyAlignment="1">
      <alignment horizontal="center" vertical="top" wrapText="1"/>
    </xf>
    <xf numFmtId="0" fontId="12" fillId="14" borderId="43" xfId="0" applyFont="1" applyFill="1" applyBorder="1" applyAlignment="1">
      <alignment horizontal="center" vertical="top" wrapText="1"/>
    </xf>
    <xf numFmtId="0" fontId="12" fillId="14" borderId="23" xfId="0" applyFont="1" applyFill="1" applyBorder="1" applyAlignment="1">
      <alignment horizontal="center" vertical="top" wrapText="1"/>
    </xf>
    <xf numFmtId="0" fontId="12" fillId="14" borderId="47" xfId="0" applyFont="1" applyFill="1" applyBorder="1" applyAlignment="1">
      <alignment horizontal="center" vertical="top" wrapText="1"/>
    </xf>
    <xf numFmtId="0" fontId="10" fillId="0" borderId="43" xfId="0" applyFont="1" applyBorder="1" applyAlignment="1">
      <alignment horizontal="center" vertical="center" wrapText="1"/>
    </xf>
    <xf numFmtId="0" fontId="13" fillId="14" borderId="34" xfId="0" applyFont="1" applyFill="1" applyBorder="1" applyAlignment="1">
      <alignment horizontal="center"/>
    </xf>
    <xf numFmtId="0" fontId="13" fillId="14" borderId="35" xfId="0" applyFont="1" applyFill="1" applyBorder="1" applyAlignment="1">
      <alignment horizontal="center"/>
    </xf>
    <xf numFmtId="0" fontId="13" fillId="14" borderId="36" xfId="0" applyFont="1" applyFill="1" applyBorder="1" applyAlignment="1">
      <alignment horizontal="center"/>
    </xf>
    <xf numFmtId="0" fontId="10" fillId="6" borderId="1" xfId="0" applyFont="1" applyFill="1" applyBorder="1" applyAlignment="1">
      <alignment horizontal="left" vertical="top" wrapText="1"/>
    </xf>
    <xf numFmtId="0" fontId="10" fillId="6" borderId="37" xfId="0" applyFont="1" applyFill="1" applyBorder="1" applyAlignment="1">
      <alignment horizontal="left" vertical="top" wrapText="1"/>
    </xf>
    <xf numFmtId="0" fontId="10" fillId="6" borderId="9" xfId="0" applyFont="1" applyFill="1" applyBorder="1" applyAlignment="1">
      <alignment horizontal="left" vertical="top" wrapText="1"/>
    </xf>
    <xf numFmtId="0" fontId="10" fillId="6" borderId="13" xfId="0" applyFont="1" applyFill="1" applyBorder="1" applyAlignment="1">
      <alignment horizontal="left" vertical="top" wrapText="1"/>
    </xf>
    <xf numFmtId="0" fontId="10" fillId="6" borderId="16" xfId="0" applyFont="1" applyFill="1" applyBorder="1" applyAlignment="1">
      <alignment horizontal="left" vertical="top" wrapText="1"/>
    </xf>
    <xf numFmtId="0" fontId="10" fillId="6" borderId="25" xfId="0" applyFont="1" applyFill="1" applyBorder="1" applyAlignment="1">
      <alignment horizontal="left" vertical="top" wrapText="1"/>
    </xf>
    <xf numFmtId="0" fontId="12" fillId="14" borderId="23" xfId="0" applyFont="1" applyFill="1" applyBorder="1" applyAlignment="1">
      <alignment horizontal="left" vertical="center" wrapText="1"/>
    </xf>
    <xf numFmtId="0" fontId="12" fillId="11" borderId="5" xfId="0" applyFont="1" applyFill="1" applyBorder="1" applyAlignment="1">
      <alignment horizontal="center" vertical="center" wrapText="1"/>
    </xf>
    <xf numFmtId="0" fontId="40" fillId="0" borderId="38" xfId="0" applyFont="1" applyBorder="1" applyAlignment="1">
      <alignment horizontal="center" vertical="center" wrapText="1"/>
    </xf>
    <xf numFmtId="0" fontId="12" fillId="0" borderId="26" xfId="0" applyFont="1" applyFill="1" applyBorder="1" applyAlignment="1">
      <alignment horizontal="center" vertical="top" wrapText="1"/>
    </xf>
    <xf numFmtId="0" fontId="12" fillId="0" borderId="23" xfId="0" applyFont="1" applyFill="1" applyBorder="1" applyAlignment="1">
      <alignment horizontal="center" vertical="top" wrapText="1"/>
    </xf>
    <xf numFmtId="0" fontId="12" fillId="0" borderId="43" xfId="0" applyFont="1" applyFill="1" applyBorder="1" applyAlignment="1">
      <alignment horizontal="center" vertical="top" wrapText="1"/>
    </xf>
    <xf numFmtId="0" fontId="11" fillId="12" borderId="38" xfId="0" applyFont="1" applyFill="1" applyBorder="1" applyAlignment="1">
      <alignment horizontal="left" vertical="center" wrapText="1"/>
    </xf>
    <xf numFmtId="0" fontId="11" fillId="12" borderId="33" xfId="0" applyFont="1" applyFill="1" applyBorder="1" applyAlignment="1">
      <alignment horizontal="left" vertical="center" wrapText="1"/>
    </xf>
    <xf numFmtId="0" fontId="11" fillId="12" borderId="32" xfId="0" applyFont="1" applyFill="1" applyBorder="1" applyAlignment="1">
      <alignment horizontal="left" vertical="center" wrapText="1"/>
    </xf>
    <xf numFmtId="0" fontId="12" fillId="11" borderId="6" xfId="3" applyFont="1" applyFill="1" applyBorder="1" applyAlignment="1">
      <alignment horizontal="left" vertical="top" wrapText="1"/>
    </xf>
    <xf numFmtId="0" fontId="12" fillId="14" borderId="24" xfId="3" applyFont="1" applyFill="1" applyBorder="1" applyAlignment="1">
      <alignment horizontal="left" vertical="top" wrapText="1"/>
    </xf>
    <xf numFmtId="0" fontId="12" fillId="11" borderId="27" xfId="3" applyFont="1" applyFill="1" applyBorder="1" applyAlignment="1">
      <alignment horizontal="center" vertical="top"/>
    </xf>
    <xf numFmtId="0" fontId="12" fillId="11" borderId="46" xfId="3" applyFont="1" applyFill="1" applyBorder="1" applyAlignment="1">
      <alignment horizontal="center" vertical="top"/>
    </xf>
    <xf numFmtId="0" fontId="12" fillId="11" borderId="24" xfId="3" applyFont="1" applyFill="1" applyBorder="1" applyAlignment="1">
      <alignment horizontal="center" vertical="top"/>
    </xf>
    <xf numFmtId="0" fontId="12" fillId="11" borderId="6" xfId="3" applyFont="1" applyFill="1" applyBorder="1" applyAlignment="1">
      <alignment horizontal="left" vertical="center" wrapText="1"/>
    </xf>
    <xf numFmtId="0" fontId="12" fillId="11" borderId="46" xfId="3" applyFont="1" applyFill="1" applyBorder="1" applyAlignment="1">
      <alignment horizontal="left" vertical="center" wrapText="1"/>
    </xf>
    <xf numFmtId="0" fontId="12" fillId="11" borderId="24" xfId="3" applyFont="1" applyFill="1" applyBorder="1" applyAlignment="1">
      <alignment horizontal="left" vertical="center" wrapText="1"/>
    </xf>
    <xf numFmtId="0" fontId="12" fillId="11" borderId="5" xfId="3" applyFont="1" applyFill="1" applyBorder="1" applyAlignment="1">
      <alignment horizontal="left" vertical="center" wrapText="1"/>
    </xf>
    <xf numFmtId="0" fontId="12" fillId="11" borderId="23" xfId="3" applyFont="1" applyFill="1" applyBorder="1" applyAlignment="1">
      <alignment horizontal="left" vertical="center" wrapText="1"/>
    </xf>
    <xf numFmtId="0" fontId="12" fillId="11" borderId="26" xfId="3" applyFont="1" applyFill="1" applyBorder="1" applyAlignment="1">
      <alignment horizontal="center" vertical="center" wrapText="1"/>
    </xf>
    <xf numFmtId="0" fontId="12" fillId="11" borderId="23" xfId="3" applyFont="1" applyFill="1" applyBorder="1" applyAlignment="1">
      <alignment horizontal="center" vertical="center" wrapText="1"/>
    </xf>
    <xf numFmtId="0" fontId="12" fillId="11" borderId="17" xfId="3" applyFont="1" applyFill="1" applyBorder="1" applyAlignment="1">
      <alignment horizontal="center" vertical="center" wrapText="1"/>
    </xf>
    <xf numFmtId="0" fontId="12" fillId="14" borderId="20" xfId="3" applyFont="1" applyFill="1" applyBorder="1" applyAlignment="1">
      <alignment horizontal="center" vertical="center" wrapText="1"/>
    </xf>
    <xf numFmtId="0" fontId="10" fillId="10" borderId="43" xfId="0" applyFont="1" applyFill="1" applyBorder="1" applyAlignment="1">
      <alignment horizontal="center" vertical="center" wrapText="1"/>
    </xf>
    <xf numFmtId="0" fontId="12" fillId="11" borderId="17" xfId="3" applyFont="1" applyFill="1" applyBorder="1" applyAlignment="1">
      <alignment vertical="center" wrapText="1"/>
    </xf>
    <xf numFmtId="0" fontId="12" fillId="14" borderId="20" xfId="3" applyFont="1" applyFill="1" applyBorder="1" applyAlignment="1">
      <alignment vertical="center" wrapText="1"/>
    </xf>
    <xf numFmtId="0" fontId="9" fillId="0" borderId="5" xfId="0" applyFont="1" applyBorder="1" applyAlignment="1">
      <alignment horizontal="center" vertical="center" wrapText="1"/>
    </xf>
    <xf numFmtId="0" fontId="9" fillId="0" borderId="43" xfId="0" applyFont="1" applyBorder="1" applyAlignment="1">
      <alignment horizontal="center" vertical="center" wrapText="1"/>
    </xf>
    <xf numFmtId="0" fontId="9" fillId="0" borderId="23" xfId="0" applyFont="1" applyBorder="1" applyAlignment="1">
      <alignment horizontal="center" vertical="center" wrapText="1"/>
    </xf>
    <xf numFmtId="0" fontId="9" fillId="0" borderId="26" xfId="0" applyFont="1" applyBorder="1" applyAlignment="1">
      <alignment horizontal="center" vertical="center"/>
    </xf>
    <xf numFmtId="0" fontId="9" fillId="0" borderId="43" xfId="0" applyFont="1" applyBorder="1" applyAlignment="1">
      <alignment horizontal="center" vertical="center"/>
    </xf>
    <xf numFmtId="0" fontId="9" fillId="0" borderId="23" xfId="0" applyFont="1" applyBorder="1" applyAlignment="1">
      <alignment horizontal="center" vertical="center"/>
    </xf>
    <xf numFmtId="0" fontId="12" fillId="11" borderId="5" xfId="3" applyFont="1" applyFill="1" applyBorder="1" applyAlignment="1">
      <alignment horizontal="center" vertical="center" wrapText="1"/>
    </xf>
    <xf numFmtId="0" fontId="12" fillId="11" borderId="43" xfId="3" applyFont="1" applyFill="1" applyBorder="1" applyAlignment="1">
      <alignment horizontal="center" vertical="center" wrapText="1"/>
    </xf>
    <xf numFmtId="0" fontId="10" fillId="10" borderId="23" xfId="0" applyFont="1" applyFill="1" applyBorder="1" applyAlignment="1">
      <alignment horizontal="center" vertical="center" wrapText="1"/>
    </xf>
    <xf numFmtId="0" fontId="12" fillId="11" borderId="26" xfId="3" applyFont="1" applyFill="1" applyBorder="1" applyAlignment="1">
      <alignment vertical="center" wrapText="1"/>
    </xf>
    <xf numFmtId="0" fontId="12" fillId="11" borderId="43" xfId="3" applyFont="1" applyFill="1" applyBorder="1" applyAlignment="1">
      <alignment vertical="center" wrapText="1"/>
    </xf>
    <xf numFmtId="0" fontId="12" fillId="11" borderId="23" xfId="3" applyFont="1" applyFill="1" applyBorder="1" applyAlignment="1">
      <alignment vertical="center" wrapText="1"/>
    </xf>
    <xf numFmtId="0" fontId="12" fillId="11" borderId="26" xfId="3" applyFont="1" applyFill="1" applyBorder="1" applyAlignment="1">
      <alignment horizontal="left" vertical="center" wrapText="1"/>
    </xf>
    <xf numFmtId="0" fontId="12" fillId="11" borderId="5" xfId="3" applyFont="1" applyFill="1" applyBorder="1" applyAlignment="1">
      <alignment vertical="center" wrapText="1"/>
    </xf>
    <xf numFmtId="0" fontId="12" fillId="11" borderId="43" xfId="3" applyFont="1" applyFill="1" applyBorder="1" applyAlignment="1">
      <alignment horizontal="left" vertical="center" wrapText="1"/>
    </xf>
    <xf numFmtId="0" fontId="10" fillId="6" borderId="4" xfId="3" applyFont="1" applyFill="1" applyBorder="1" applyAlignment="1">
      <alignment horizontal="left" vertical="top" wrapText="1"/>
    </xf>
    <xf numFmtId="0" fontId="10" fillId="6" borderId="29" xfId="3" applyFont="1" applyFill="1" applyBorder="1" applyAlignment="1">
      <alignment horizontal="left" vertical="top" wrapText="1"/>
    </xf>
    <xf numFmtId="0" fontId="10" fillId="6" borderId="22" xfId="3" applyFont="1" applyFill="1" applyBorder="1" applyAlignment="1">
      <alignment horizontal="left" vertical="top" wrapText="1"/>
    </xf>
    <xf numFmtId="0" fontId="10" fillId="6" borderId="1" xfId="3" applyFont="1" applyFill="1" applyBorder="1" applyAlignment="1">
      <alignment horizontal="left" vertical="top" wrapText="1"/>
    </xf>
    <xf numFmtId="0" fontId="10" fillId="6" borderId="37" xfId="3" applyFont="1" applyFill="1" applyBorder="1" applyAlignment="1">
      <alignment horizontal="left" vertical="top" wrapText="1"/>
    </xf>
    <xf numFmtId="0" fontId="10" fillId="6" borderId="9" xfId="3" applyFont="1" applyFill="1" applyBorder="1" applyAlignment="1">
      <alignment horizontal="left" vertical="top" wrapText="1"/>
    </xf>
    <xf numFmtId="0" fontId="9" fillId="0" borderId="5" xfId="0" applyFont="1" applyBorder="1" applyAlignment="1">
      <alignment horizontal="center" vertical="center"/>
    </xf>
    <xf numFmtId="0" fontId="9" fillId="0" borderId="17" xfId="0" applyFont="1" applyBorder="1" applyAlignment="1">
      <alignment horizontal="center" vertical="center"/>
    </xf>
    <xf numFmtId="0" fontId="9" fillId="0" borderId="20" xfId="0" applyFont="1" applyBorder="1" applyAlignment="1">
      <alignment horizontal="center" vertical="center"/>
    </xf>
    <xf numFmtId="0" fontId="10" fillId="6" borderId="30" xfId="3" applyFont="1" applyFill="1" applyBorder="1" applyAlignment="1">
      <alignment horizontal="left" vertical="top" wrapText="1"/>
    </xf>
    <xf numFmtId="0" fontId="9" fillId="14" borderId="5" xfId="3" applyFont="1" applyFill="1" applyBorder="1" applyAlignment="1">
      <alignment horizontal="center" vertical="center" wrapText="1"/>
    </xf>
    <xf numFmtId="0" fontId="9" fillId="14" borderId="43" xfId="3" applyFont="1" applyFill="1" applyBorder="1" applyAlignment="1">
      <alignment horizontal="center" vertical="center" wrapText="1"/>
    </xf>
    <xf numFmtId="0" fontId="9" fillId="14" borderId="23" xfId="3" applyFont="1" applyFill="1" applyBorder="1" applyAlignment="1">
      <alignment horizontal="center" vertical="center" wrapText="1"/>
    </xf>
    <xf numFmtId="0" fontId="12" fillId="14" borderId="26" xfId="3" applyFont="1" applyFill="1" applyBorder="1" applyAlignment="1">
      <alignment horizontal="center" vertical="center" wrapText="1"/>
    </xf>
    <xf numFmtId="0" fontId="12" fillId="14" borderId="23" xfId="3" applyFont="1" applyFill="1" applyBorder="1" applyAlignment="1">
      <alignment horizontal="center" vertical="center" wrapText="1"/>
    </xf>
    <xf numFmtId="0" fontId="12" fillId="14" borderId="43" xfId="3" applyFont="1" applyFill="1" applyBorder="1" applyAlignment="1">
      <alignment horizontal="center" vertical="center" wrapText="1"/>
    </xf>
    <xf numFmtId="0" fontId="12" fillId="14" borderId="44" xfId="3" applyFont="1" applyFill="1" applyBorder="1" applyAlignment="1">
      <alignment horizontal="center" vertical="center" wrapText="1"/>
    </xf>
    <xf numFmtId="0" fontId="12" fillId="11" borderId="44" xfId="3" applyFont="1" applyFill="1" applyBorder="1" applyAlignment="1">
      <alignment horizontal="left" vertical="center" wrapText="1"/>
    </xf>
    <xf numFmtId="0" fontId="24" fillId="11" borderId="6" xfId="5" applyFont="1" applyFill="1" applyBorder="1" applyAlignment="1">
      <alignment horizontal="center" vertical="center"/>
    </xf>
    <xf numFmtId="0" fontId="24" fillId="11" borderId="46" xfId="5" applyFont="1" applyFill="1" applyBorder="1" applyAlignment="1">
      <alignment horizontal="center" vertical="center"/>
    </xf>
    <xf numFmtId="0" fontId="24" fillId="11" borderId="24" xfId="5" applyFont="1" applyFill="1" applyBorder="1" applyAlignment="1">
      <alignment horizontal="center" vertical="center"/>
    </xf>
    <xf numFmtId="0" fontId="12" fillId="11" borderId="27" xfId="5" applyFont="1" applyFill="1" applyBorder="1" applyAlignment="1">
      <alignment horizontal="center" vertical="center"/>
    </xf>
    <xf numFmtId="0" fontId="12" fillId="11" borderId="46" xfId="5" applyFont="1" applyFill="1" applyBorder="1" applyAlignment="1">
      <alignment horizontal="center" vertical="center"/>
    </xf>
    <xf numFmtId="0" fontId="12" fillId="11" borderId="24" xfId="5" applyFont="1" applyFill="1" applyBorder="1" applyAlignment="1">
      <alignment horizontal="center" vertical="center"/>
    </xf>
    <xf numFmtId="0" fontId="12" fillId="11" borderId="47" xfId="5" applyFont="1" applyFill="1" applyBorder="1" applyAlignment="1">
      <alignment horizontal="center" vertical="center"/>
    </xf>
    <xf numFmtId="0" fontId="10" fillId="0" borderId="1" xfId="0" applyFont="1" applyBorder="1" applyAlignment="1">
      <alignment horizontal="left" vertical="top"/>
    </xf>
    <xf numFmtId="0" fontId="10" fillId="0" borderId="2" xfId="0" applyFont="1" applyBorder="1" applyAlignment="1">
      <alignment horizontal="left" vertical="top"/>
    </xf>
    <xf numFmtId="0" fontId="10" fillId="0" borderId="3" xfId="0" applyFont="1" applyBorder="1" applyAlignment="1">
      <alignment horizontal="left" vertical="top"/>
    </xf>
    <xf numFmtId="0" fontId="10" fillId="0" borderId="41" xfId="0" applyFont="1" applyBorder="1" applyAlignment="1">
      <alignment horizontal="left" vertical="top"/>
    </xf>
    <xf numFmtId="0" fontId="10" fillId="0" borderId="42" xfId="0" applyFont="1" applyBorder="1" applyAlignment="1">
      <alignment horizontal="left" vertical="top"/>
    </xf>
    <xf numFmtId="0" fontId="10" fillId="0" borderId="45" xfId="0" applyFont="1" applyBorder="1" applyAlignment="1">
      <alignment horizontal="left" vertical="top"/>
    </xf>
    <xf numFmtId="0" fontId="14" fillId="0" borderId="2" xfId="0" applyFont="1" applyBorder="1" applyAlignment="1">
      <alignment horizontal="left" vertical="top"/>
    </xf>
    <xf numFmtId="0" fontId="14" fillId="0" borderId="3" xfId="0" applyFont="1" applyBorder="1" applyAlignment="1">
      <alignment horizontal="left" vertical="top"/>
    </xf>
    <xf numFmtId="0" fontId="14" fillId="0" borderId="9" xfId="0" applyFont="1" applyBorder="1" applyAlignment="1">
      <alignment horizontal="left" vertical="top"/>
    </xf>
    <xf numFmtId="0" fontId="14" fillId="0" borderId="10" xfId="0" applyFont="1" applyBorder="1" applyAlignment="1">
      <alignment horizontal="left" vertical="top"/>
    </xf>
    <xf numFmtId="0" fontId="14" fillId="0" borderId="11" xfId="0" applyFont="1" applyBorder="1" applyAlignment="1">
      <alignment horizontal="left" vertical="top"/>
    </xf>
    <xf numFmtId="0" fontId="12" fillId="0" borderId="26" xfId="5" applyFont="1" applyFill="1" applyBorder="1" applyAlignment="1">
      <alignment vertical="center" wrapText="1"/>
    </xf>
    <xf numFmtId="0" fontId="12" fillId="0" borderId="43" xfId="5" applyFont="1" applyFill="1" applyBorder="1" applyAlignment="1">
      <alignment vertical="center" wrapText="1"/>
    </xf>
    <xf numFmtId="0" fontId="12" fillId="0" borderId="44" xfId="5" applyFont="1" applyFill="1" applyBorder="1" applyAlignment="1">
      <alignment vertical="center" wrapText="1"/>
    </xf>
    <xf numFmtId="0" fontId="12" fillId="0" borderId="26" xfId="5" applyFont="1" applyFill="1" applyBorder="1" applyAlignment="1">
      <alignment horizontal="left" vertical="center" wrapText="1"/>
    </xf>
    <xf numFmtId="0" fontId="12" fillId="0" borderId="44" xfId="5" applyFont="1" applyFill="1" applyBorder="1" applyAlignment="1">
      <alignment horizontal="left" vertical="center" wrapText="1"/>
    </xf>
    <xf numFmtId="0" fontId="12" fillId="11" borderId="6" xfId="5" applyFont="1" applyFill="1" applyBorder="1" applyAlignment="1">
      <alignment horizontal="left" vertical="center"/>
    </xf>
    <xf numFmtId="0" fontId="12" fillId="11" borderId="46" xfId="5" applyFont="1" applyFill="1" applyBorder="1" applyAlignment="1">
      <alignment horizontal="left" vertical="center"/>
    </xf>
    <xf numFmtId="0" fontId="12" fillId="11" borderId="24" xfId="5" applyFont="1" applyFill="1" applyBorder="1" applyAlignment="1">
      <alignment horizontal="left" vertical="center"/>
    </xf>
    <xf numFmtId="0" fontId="22" fillId="11" borderId="27" xfId="5" applyFont="1" applyFill="1" applyBorder="1" applyAlignment="1">
      <alignment horizontal="center" vertical="center"/>
    </xf>
    <xf numFmtId="0" fontId="22" fillId="11" borderId="46" xfId="5" applyFont="1" applyFill="1" applyBorder="1" applyAlignment="1">
      <alignment horizontal="center" vertical="center"/>
    </xf>
    <xf numFmtId="0" fontId="22" fillId="11" borderId="24" xfId="5" applyFont="1" applyFill="1" applyBorder="1" applyAlignment="1">
      <alignment horizontal="center" vertical="center"/>
    </xf>
    <xf numFmtId="0" fontId="12" fillId="11" borderId="6" xfId="5" applyFont="1" applyFill="1" applyBorder="1" applyAlignment="1">
      <alignment horizontal="center" vertical="center"/>
    </xf>
    <xf numFmtId="0" fontId="12" fillId="11" borderId="26" xfId="5" applyFont="1" applyFill="1" applyBorder="1" applyAlignment="1">
      <alignment horizontal="center" vertical="center"/>
    </xf>
    <xf numFmtId="0" fontId="12" fillId="11" borderId="43" xfId="5" applyFont="1" applyFill="1" applyBorder="1" applyAlignment="1">
      <alignment horizontal="center" vertical="center"/>
    </xf>
    <xf numFmtId="0" fontId="12" fillId="11" borderId="23" xfId="5" applyFont="1" applyFill="1" applyBorder="1" applyAlignment="1">
      <alignment horizontal="center" vertical="center"/>
    </xf>
    <xf numFmtId="0" fontId="17" fillId="0" borderId="26" xfId="5" applyFont="1" applyFill="1" applyBorder="1" applyAlignment="1">
      <alignment vertical="center" wrapText="1"/>
    </xf>
    <xf numFmtId="0" fontId="17" fillId="0" borderId="43" xfId="5" applyFont="1" applyFill="1" applyBorder="1" applyAlignment="1">
      <alignment vertical="center" wrapText="1"/>
    </xf>
    <xf numFmtId="0" fontId="17" fillId="0" borderId="23" xfId="5" applyFont="1" applyFill="1" applyBorder="1" applyAlignment="1">
      <alignment vertical="center" wrapText="1"/>
    </xf>
    <xf numFmtId="0" fontId="10" fillId="10" borderId="26" xfId="0" applyFont="1" applyFill="1" applyBorder="1" applyAlignment="1">
      <alignment horizontal="center" vertical="center"/>
    </xf>
    <xf numFmtId="0" fontId="10" fillId="10" borderId="43" xfId="0" applyFont="1" applyFill="1" applyBorder="1" applyAlignment="1">
      <alignment horizontal="center" vertical="center"/>
    </xf>
    <xf numFmtId="0" fontId="10" fillId="10" borderId="44" xfId="0" applyFont="1" applyFill="1" applyBorder="1" applyAlignment="1">
      <alignment horizontal="center" vertical="center"/>
    </xf>
    <xf numFmtId="0" fontId="12" fillId="14" borderId="26" xfId="5" applyFont="1" applyFill="1" applyBorder="1" applyAlignment="1">
      <alignment horizontal="center" vertical="center"/>
    </xf>
    <xf numFmtId="0" fontId="12" fillId="14" borderId="43" xfId="5" applyFont="1" applyFill="1" applyBorder="1" applyAlignment="1">
      <alignment horizontal="center" vertical="center"/>
    </xf>
    <xf numFmtId="0" fontId="12" fillId="14" borderId="44" xfId="5" applyFont="1" applyFill="1" applyBorder="1" applyAlignment="1">
      <alignment horizontal="center" vertical="center"/>
    </xf>
    <xf numFmtId="0" fontId="12" fillId="14" borderId="5" xfId="5" applyFont="1" applyFill="1" applyBorder="1" applyAlignment="1">
      <alignment horizontal="center" vertical="center"/>
    </xf>
    <xf numFmtId="0" fontId="12" fillId="14" borderId="23" xfId="5" applyFont="1" applyFill="1" applyBorder="1" applyAlignment="1">
      <alignment horizontal="center" vertical="center"/>
    </xf>
    <xf numFmtId="0" fontId="10" fillId="9" borderId="43" xfId="0" applyFont="1" applyFill="1" applyBorder="1" applyAlignment="1">
      <alignment horizontal="center" vertical="center"/>
    </xf>
    <xf numFmtId="0" fontId="12" fillId="0" borderId="43" xfId="5" applyFont="1" applyFill="1" applyBorder="1" applyAlignment="1">
      <alignment horizontal="left" vertical="center" wrapText="1"/>
    </xf>
    <xf numFmtId="0" fontId="12" fillId="0" borderId="23" xfId="5" applyFont="1" applyFill="1" applyBorder="1" applyAlignment="1">
      <alignment horizontal="left" vertical="center" wrapText="1"/>
    </xf>
    <xf numFmtId="0" fontId="12" fillId="0" borderId="5" xfId="5" applyFont="1" applyFill="1" applyBorder="1" applyAlignment="1">
      <alignment vertical="center" wrapText="1"/>
    </xf>
    <xf numFmtId="0" fontId="12" fillId="0" borderId="23" xfId="5" applyFont="1" applyFill="1" applyBorder="1" applyAlignment="1">
      <alignment vertical="center" wrapText="1"/>
    </xf>
    <xf numFmtId="0" fontId="0" fillId="0" borderId="26" xfId="0" applyFill="1" applyBorder="1" applyAlignment="1">
      <alignment horizontal="left" vertical="center" wrapText="1"/>
    </xf>
    <xf numFmtId="0" fontId="0" fillId="0" borderId="43" xfId="0" applyFill="1" applyBorder="1" applyAlignment="1">
      <alignment horizontal="left" vertical="center" wrapText="1"/>
    </xf>
    <xf numFmtId="0" fontId="0" fillId="0" borderId="23" xfId="0" applyFill="1" applyBorder="1" applyAlignment="1">
      <alignment horizontal="left" vertical="center" wrapText="1"/>
    </xf>
    <xf numFmtId="0" fontId="12" fillId="11" borderId="5" xfId="5" applyFont="1" applyFill="1" applyBorder="1" applyAlignment="1">
      <alignment horizontal="left" vertical="center"/>
    </xf>
    <xf numFmtId="0" fontId="12" fillId="11" borderId="43" xfId="5" applyFont="1" applyFill="1" applyBorder="1" applyAlignment="1">
      <alignment horizontal="left" vertical="center"/>
    </xf>
    <xf numFmtId="0" fontId="12" fillId="11" borderId="23" xfId="5" applyFont="1" applyFill="1" applyBorder="1" applyAlignment="1">
      <alignment horizontal="left" vertical="center"/>
    </xf>
    <xf numFmtId="0" fontId="18" fillId="11" borderId="26" xfId="5" applyFont="1" applyFill="1" applyBorder="1" applyAlignment="1">
      <alignment horizontal="center" vertical="center"/>
    </xf>
    <xf numFmtId="0" fontId="12" fillId="11" borderId="44" xfId="5" applyFont="1" applyFill="1" applyBorder="1" applyAlignment="1">
      <alignment horizontal="center" vertical="center"/>
    </xf>
    <xf numFmtId="0" fontId="19" fillId="11" borderId="5" xfId="5" applyFont="1" applyFill="1" applyBorder="1" applyAlignment="1">
      <alignment horizontal="center" vertical="center"/>
    </xf>
    <xf numFmtId="0" fontId="19" fillId="11" borderId="43" xfId="5" applyFont="1" applyFill="1" applyBorder="1" applyAlignment="1">
      <alignment horizontal="center" vertical="center"/>
    </xf>
    <xf numFmtId="0" fontId="19" fillId="11" borderId="23" xfId="5" applyFont="1" applyFill="1" applyBorder="1" applyAlignment="1">
      <alignment horizontal="center" vertical="center"/>
    </xf>
    <xf numFmtId="0" fontId="19" fillId="11" borderId="26" xfId="5" applyFont="1" applyFill="1" applyBorder="1" applyAlignment="1">
      <alignment horizontal="center" vertical="center"/>
    </xf>
    <xf numFmtId="0" fontId="23" fillId="11" borderId="26" xfId="5" applyFont="1" applyFill="1" applyBorder="1" applyAlignment="1">
      <alignment horizontal="center" vertical="center"/>
    </xf>
    <xf numFmtId="0" fontId="23" fillId="11" borderId="43" xfId="5" applyFont="1" applyFill="1" applyBorder="1" applyAlignment="1">
      <alignment horizontal="center" vertical="center"/>
    </xf>
    <xf numFmtId="0" fontId="23" fillId="11" borderId="23" xfId="5" applyFont="1" applyFill="1" applyBorder="1" applyAlignment="1">
      <alignment horizontal="center" vertical="center"/>
    </xf>
    <xf numFmtId="0" fontId="12" fillId="0" borderId="5" xfId="5" applyFont="1" applyFill="1" applyBorder="1" applyAlignment="1">
      <alignment horizontal="left" vertical="center" wrapText="1"/>
    </xf>
    <xf numFmtId="0" fontId="10" fillId="14" borderId="43" xfId="0" applyFont="1" applyFill="1" applyBorder="1" applyAlignment="1">
      <alignment horizontal="center" vertical="center"/>
    </xf>
    <xf numFmtId="0" fontId="10" fillId="14" borderId="23" xfId="0" applyFont="1" applyFill="1" applyBorder="1" applyAlignment="1">
      <alignment horizontal="center" vertical="center"/>
    </xf>
    <xf numFmtId="0" fontId="9" fillId="0" borderId="38" xfId="0" applyFont="1" applyBorder="1" applyAlignment="1">
      <alignment horizontal="center" vertical="center"/>
    </xf>
    <xf numFmtId="0" fontId="9" fillId="0" borderId="33" xfId="0" applyFont="1" applyBorder="1" applyAlignment="1">
      <alignment horizontal="center" vertical="center"/>
    </xf>
    <xf numFmtId="0" fontId="9" fillId="0" borderId="32" xfId="0" applyFont="1" applyBorder="1" applyAlignment="1">
      <alignment horizontal="center" vertical="center"/>
    </xf>
    <xf numFmtId="0" fontId="10" fillId="0" borderId="38" xfId="0" applyFont="1" applyBorder="1" applyAlignment="1">
      <alignment horizontal="center" vertical="center"/>
    </xf>
    <xf numFmtId="0" fontId="10" fillId="0" borderId="33" xfId="0" applyFont="1" applyBorder="1" applyAlignment="1">
      <alignment horizontal="center" vertical="center"/>
    </xf>
    <xf numFmtId="0" fontId="10" fillId="0" borderId="2" xfId="0" applyFont="1" applyBorder="1" applyAlignment="1">
      <alignment horizontal="center" vertical="center"/>
    </xf>
    <xf numFmtId="0" fontId="10" fillId="0" borderId="32" xfId="0" applyFont="1" applyBorder="1" applyAlignment="1">
      <alignment horizontal="center" vertical="center"/>
    </xf>
    <xf numFmtId="0" fontId="10" fillId="0" borderId="17" xfId="0" applyFont="1" applyBorder="1" applyAlignment="1">
      <alignment horizontal="center" vertical="center"/>
    </xf>
    <xf numFmtId="0" fontId="10" fillId="6" borderId="4" xfId="5" applyFont="1" applyFill="1" applyBorder="1" applyAlignment="1">
      <alignment horizontal="left" vertical="center" wrapText="1"/>
    </xf>
    <xf numFmtId="0" fontId="10" fillId="6" borderId="29" xfId="5" applyFont="1" applyFill="1" applyBorder="1" applyAlignment="1">
      <alignment horizontal="left" vertical="center" wrapText="1"/>
    </xf>
    <xf numFmtId="0" fontId="10" fillId="6" borderId="30" xfId="5" applyFont="1" applyFill="1" applyBorder="1" applyAlignment="1">
      <alignment horizontal="left" vertical="center" wrapText="1"/>
    </xf>
    <xf numFmtId="0" fontId="0" fillId="0" borderId="17" xfId="0" applyBorder="1" applyAlignment="1">
      <alignment horizontal="center" vertical="center" wrapText="1"/>
    </xf>
    <xf numFmtId="0" fontId="1" fillId="2" borderId="31" xfId="0" applyFont="1" applyFill="1" applyBorder="1" applyAlignment="1">
      <alignment horizontal="center" vertical="center"/>
    </xf>
    <xf numFmtId="0" fontId="1" fillId="2" borderId="65" xfId="0" applyFont="1" applyFill="1" applyBorder="1" applyAlignment="1">
      <alignment horizontal="center" vertical="center"/>
    </xf>
    <xf numFmtId="0" fontId="1" fillId="2" borderId="63" xfId="0" applyFont="1" applyFill="1" applyBorder="1" applyAlignment="1">
      <alignment horizontal="center" vertical="center"/>
    </xf>
  </cellXfs>
  <cellStyles count="6">
    <cellStyle name="Comma" xfId="1" builtinId="3"/>
    <cellStyle name="Normal" xfId="0" builtinId="0"/>
    <cellStyle name="Normal 2" xfId="3"/>
    <cellStyle name="Normal 2 2" xfId="4"/>
    <cellStyle name="Normal 2 3" xfId="5"/>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activeX1.xml><?xml version="1.0" encoding="utf-8"?>
<ax:ocx xmlns:ax="http://schemas.microsoft.com/office/2006/activeX" xmlns:r="http://schemas.openxmlformats.org/officeDocument/2006/relationships" ax:classid="{8BD21D50-EC42-11CE-9E0D-00AA006002F3}" r:id="rId1"/>
</file>

<file path=xl/activeX/activeX2.xml><?xml version="1.0" encoding="utf-8"?>
<ax:ocx xmlns:ax="http://schemas.microsoft.com/office/2006/activeX" xmlns:r="http://schemas.openxmlformats.org/officeDocument/2006/relationships" ax:classid="{8BD21D50-EC42-11CE-9E0D-00AA006002F3}" r:id="rId1"/>
</file>

<file path=xl/activeX/activeX3.xml><?xml version="1.0" encoding="utf-8"?>
<ax:ocx xmlns:ax="http://schemas.microsoft.com/office/2006/activeX" xmlns:r="http://schemas.openxmlformats.org/officeDocument/2006/relationships" ax:classid="{8BD21D50-EC42-11CE-9E0D-00AA006002F3}" r:id="rId1"/>
</file>

<file path=xl/activeX/activeX4.xml><?xml version="1.0" encoding="utf-8"?>
<ax:ocx xmlns:ax="http://schemas.microsoft.com/office/2006/activeX" xmlns:r="http://schemas.openxmlformats.org/officeDocument/2006/relationships" ax:classid="{8BD21D50-EC42-11CE-9E0D-00AA006002F3}" r:id="rId1"/>
</file>

<file path=xl/activeX/activeX5.xml><?xml version="1.0" encoding="utf-8"?>
<ax:ocx xmlns:ax="http://schemas.microsoft.com/office/2006/activeX" xmlns:r="http://schemas.openxmlformats.org/officeDocument/2006/relationships" ax:classid="{8BD21D50-EC42-11CE-9E0D-00AA006002F3}" r:id="rId1"/>
</file>

<file path=xl/activeX/activeX6.xml><?xml version="1.0" encoding="utf-8"?>
<ax:ocx xmlns:ax="http://schemas.microsoft.com/office/2006/activeX" xmlns:r="http://schemas.openxmlformats.org/officeDocument/2006/relationships" ax:classid="{8BD21D50-EC42-11CE-9E0D-00AA006002F3}" r:id="rId1"/>
</file>

<file path=xl/activeX/activeX7.xml><?xml version="1.0" encoding="utf-8"?>
<ax:ocx xmlns:ax="http://schemas.microsoft.com/office/2006/activeX" xmlns:r="http://schemas.openxmlformats.org/officeDocument/2006/relationships" ax:classid="{8BD21D50-EC42-11CE-9E0D-00AA006002F3}" r:id="rId1"/>
</file>

<file path=xl/activeX/activeX8.xml><?xml version="1.0" encoding="utf-8"?>
<ax:ocx xmlns:ax="http://schemas.microsoft.com/office/2006/activeX" xmlns:r="http://schemas.openxmlformats.org/officeDocument/2006/relationships" ax:classid="{8BD21D50-EC42-11CE-9E0D-00AA006002F3}" r:id="rId1"/>
</file>

<file path=xl/activeX/activeX9.xml><?xml version="1.0" encoding="utf-8"?>
<ax:ocx xmlns:ax="http://schemas.microsoft.com/office/2006/activeX" xmlns:r="http://schemas.openxmlformats.org/officeDocument/2006/relationships" ax:classid="{8BD21D50-EC42-11CE-9E0D-00AA006002F3}" r:id="rId1"/>
</file>

<file path=xl/activeX/activeX10.xml><?xml version="1.0" encoding="utf-8"?>
<ax:ocx xmlns:ax="http://schemas.microsoft.com/office/2006/activeX" xmlns:r="http://schemas.openxmlformats.org/officeDocument/2006/relationships" ax:classid="{8BD21D50-EC42-11CE-9E0D-00AA006002F3}" r:id="rId1"/>
</file>

<file path=xl/activeX/activeX11.xml><?xml version="1.0" encoding="utf-8"?>
<ax:ocx xmlns:ax="http://schemas.microsoft.com/office/2006/activeX" xmlns:r="http://schemas.openxmlformats.org/officeDocument/2006/relationships" ax:classid="{8BD21D50-EC42-11CE-9E0D-00AA006002F3}" r:id="rId1"/>
</file>

<file path=xl/activeX/activeX12.xml><?xml version="1.0" encoding="utf-8"?>
<ax:ocx xmlns:ax="http://schemas.microsoft.com/office/2006/activeX" xmlns:r="http://schemas.openxmlformats.org/officeDocument/2006/relationships" ax:classid="{8BD21D50-EC42-11CE-9E0D-00AA006002F3}" r:id="rId1"/>
</file>

<file path=xl/activeX/activeX13.xml><?xml version="1.0" encoding="utf-8"?>
<ax:ocx xmlns:ax="http://schemas.microsoft.com/office/2006/activeX" xmlns:r="http://schemas.openxmlformats.org/officeDocument/2006/relationships" ax:classid="{8BD21D50-EC42-11CE-9E0D-00AA006002F3}" r:id="rId1"/>
</file>

<file path=xl/activeX/activeX14.xml><?xml version="1.0" encoding="utf-8"?>
<ax:ocx xmlns:ax="http://schemas.microsoft.com/office/2006/activeX" xmlns:r="http://schemas.openxmlformats.org/officeDocument/2006/relationships" ax:classid="{8BD21D50-EC42-11CE-9E0D-00AA006002F3}" r:id="rId1"/>
</file>

<file path=xl/activeX/activeX15.xml><?xml version="1.0" encoding="utf-8"?>
<ax:ocx xmlns:ax="http://schemas.microsoft.com/office/2006/activeX" xmlns:r="http://schemas.openxmlformats.org/officeDocument/2006/relationships" ax:classid="{8BD21D50-EC42-11CE-9E0D-00AA006002F3}" r:id="rId1"/>
</file>

<file path=xl/activeX/activeX16.xml><?xml version="1.0" encoding="utf-8"?>
<ax:ocx xmlns:ax="http://schemas.microsoft.com/office/2006/activeX" xmlns:r="http://schemas.openxmlformats.org/officeDocument/2006/relationships" ax:classid="{8BD21D50-EC42-11CE-9E0D-00AA006002F3}" r:id="rId1"/>
</file>

<file path=xl/activeX/activeX17.xml><?xml version="1.0" encoding="utf-8"?>
<ax:ocx xmlns:ax="http://schemas.microsoft.com/office/2006/activeX" xmlns:r="http://schemas.openxmlformats.org/officeDocument/2006/relationships" ax:classid="{8BD21D50-EC42-11CE-9E0D-00AA006002F3}" r:id="rId1"/>
</file>

<file path=xl/activeX/activeX18.xml><?xml version="1.0" encoding="utf-8"?>
<ax:ocx xmlns:ax="http://schemas.microsoft.com/office/2006/activeX" xmlns:r="http://schemas.openxmlformats.org/officeDocument/2006/relationships" ax:classid="{8BD21D50-EC42-11CE-9E0D-00AA006002F3}" r:id="rId1"/>
</file>

<file path=xl/activeX/activeX19.xml><?xml version="1.0" encoding="utf-8"?>
<ax:ocx xmlns:ax="http://schemas.microsoft.com/office/2006/activeX" xmlns:r="http://schemas.openxmlformats.org/officeDocument/2006/relationships" ax:classid="{8BD21D50-EC42-11CE-9E0D-00AA006002F3}" r:id="rId1"/>
</file>

<file path=xl/activeX/activeX20.xml><?xml version="1.0" encoding="utf-8"?>
<ax:ocx xmlns:ax="http://schemas.microsoft.com/office/2006/activeX" xmlns:r="http://schemas.openxmlformats.org/officeDocument/2006/relationships" ax:classid="{8BD21D50-EC42-11CE-9E0D-00AA006002F3}" r:id="rId1"/>
</file>

<file path=xl/activeX/activeX21.xml><?xml version="1.0" encoding="utf-8"?>
<ax:ocx xmlns:ax="http://schemas.microsoft.com/office/2006/activeX" xmlns:r="http://schemas.openxmlformats.org/officeDocument/2006/relationships" ax:classid="{8BD21D50-EC42-11CE-9E0D-00AA006002F3}" r:id="rId1"/>
</file>

<file path=xl/activeX/activeX22.xml><?xml version="1.0" encoding="utf-8"?>
<ax:ocx xmlns:ax="http://schemas.microsoft.com/office/2006/activeX" xmlns:r="http://schemas.openxmlformats.org/officeDocument/2006/relationships" ax:classid="{8BD21D50-EC42-11CE-9E0D-00AA006002F3}" r:id="rId1"/>
</file>

<file path=xl/activeX/activeX23.xml><?xml version="1.0" encoding="utf-8"?>
<ax:ocx xmlns:ax="http://schemas.microsoft.com/office/2006/activeX" xmlns:r="http://schemas.openxmlformats.org/officeDocument/2006/relationships" ax:classid="{8BD21D50-EC42-11CE-9E0D-00AA006002F3}" r:id="rId1"/>
</file>

<file path=xl/activeX/activeX24.xml><?xml version="1.0" encoding="utf-8"?>
<ax:ocx xmlns:ax="http://schemas.microsoft.com/office/2006/activeX" xmlns:r="http://schemas.openxmlformats.org/officeDocument/2006/relationships" ax:classid="{8BD21D50-EC42-11CE-9E0D-00AA006002F3}" r:id="rId1"/>
</file>

<file path=xl/activeX/activeX25.xml><?xml version="1.0" encoding="utf-8"?>
<ax:ocx xmlns:ax="http://schemas.microsoft.com/office/2006/activeX" xmlns:r="http://schemas.openxmlformats.org/officeDocument/2006/relationships" ax:classid="{8BD21D50-EC42-11CE-9E0D-00AA006002F3}" r:id="rId1"/>
</file>

<file path=xl/activeX/activeX26.xml><?xml version="1.0" encoding="utf-8"?>
<ax:ocx xmlns:ax="http://schemas.microsoft.com/office/2006/activeX" xmlns:r="http://schemas.openxmlformats.org/officeDocument/2006/relationships" ax:classid="{8BD21D50-EC42-11CE-9E0D-00AA006002F3}" r:id="rId1"/>
</file>

<file path=xl/activeX/activeX27.xml><?xml version="1.0" encoding="utf-8"?>
<ax:ocx xmlns:ax="http://schemas.microsoft.com/office/2006/activeX" xmlns:r="http://schemas.openxmlformats.org/officeDocument/2006/relationships" ax:classid="{8BD21D50-EC42-11CE-9E0D-00AA006002F3}" r:id="rId1"/>
</file>

<file path=xl/activeX/activeX28.xml><?xml version="1.0" encoding="utf-8"?>
<ax:ocx xmlns:ax="http://schemas.microsoft.com/office/2006/activeX" xmlns:r="http://schemas.openxmlformats.org/officeDocument/2006/relationships" ax:classid="{8BD21D50-EC42-11CE-9E0D-00AA006002F3}" r:id="rId1"/>
</file>

<file path=xl/activeX/activeX29.xml><?xml version="1.0" encoding="utf-8"?>
<ax:ocx xmlns:ax="http://schemas.microsoft.com/office/2006/activeX" xmlns:r="http://schemas.openxmlformats.org/officeDocument/2006/relationships" ax:classid="{8BD21D50-EC42-11CE-9E0D-00AA006002F3}" r:id="rId1"/>
</file>

<file path=xl/activeX/activeX30.xml><?xml version="1.0" encoding="utf-8"?>
<ax:ocx xmlns:ax="http://schemas.microsoft.com/office/2006/activeX" xmlns:r="http://schemas.openxmlformats.org/officeDocument/2006/relationships" ax:classid="{8BD21D50-EC42-11CE-9E0D-00AA006002F3}" r:id="rId1"/>
</file>

<file path=xl/activeX/activeX31.xml><?xml version="1.0" encoding="utf-8"?>
<ax:ocx xmlns:ax="http://schemas.microsoft.com/office/2006/activeX" xmlns:r="http://schemas.openxmlformats.org/officeDocument/2006/relationships" ax:classid="{8BD21D50-EC42-11CE-9E0D-00AA006002F3}" r:id="rId1"/>
</file>

<file path=xl/activeX/activeX32.xml><?xml version="1.0" encoding="utf-8"?>
<ax:ocx xmlns:ax="http://schemas.microsoft.com/office/2006/activeX" xmlns:r="http://schemas.openxmlformats.org/officeDocument/2006/relationships" ax:classid="{8BD21D50-EC42-11CE-9E0D-00AA006002F3}" r:id="rId1"/>
</file>

<file path=xl/activeX/activeX33.xml><?xml version="1.0" encoding="utf-8"?>
<ax:ocx xmlns:ax="http://schemas.microsoft.com/office/2006/activeX" xmlns:r="http://schemas.openxmlformats.org/officeDocument/2006/relationships" ax:classid="{8BD21D50-EC42-11CE-9E0D-00AA006002F3}" r:id="rId1"/>
</file>

<file path=xl/activeX/activeX34.xml><?xml version="1.0" encoding="utf-8"?>
<ax:ocx xmlns:ax="http://schemas.microsoft.com/office/2006/activeX" xmlns:r="http://schemas.openxmlformats.org/officeDocument/2006/relationships" ax:classid="{8BD21D50-EC42-11CE-9E0D-00AA006002F3}" r:id="rId1"/>
</file>

<file path=xl/activeX/activeX35.xml><?xml version="1.0" encoding="utf-8"?>
<ax:ocx xmlns:ax="http://schemas.microsoft.com/office/2006/activeX" xmlns:r="http://schemas.openxmlformats.org/officeDocument/2006/relationships" ax:classid="{8BD21D50-EC42-11CE-9E0D-00AA006002F3}" r:id="rId1"/>
</file>

<file path=xl/activeX/activeX36.xml><?xml version="1.0" encoding="utf-8"?>
<ax:ocx xmlns:ax="http://schemas.microsoft.com/office/2006/activeX" xmlns:r="http://schemas.openxmlformats.org/officeDocument/2006/relationships" ax:classid="{8BD21D50-EC42-11CE-9E0D-00AA006002F3}" r:id="rId1"/>
</file>

<file path=xl/activeX/activeX37.xml><?xml version="1.0" encoding="utf-8"?>
<ax:ocx xmlns:ax="http://schemas.microsoft.com/office/2006/activeX" xmlns:r="http://schemas.openxmlformats.org/officeDocument/2006/relationships" ax:classid="{8BD21D50-EC42-11CE-9E0D-00AA006002F3}" r:id="rId1"/>
</file>

<file path=xl/activeX/activeX38.xml><?xml version="1.0" encoding="utf-8"?>
<ax:ocx xmlns:ax="http://schemas.microsoft.com/office/2006/activeX" xmlns:r="http://schemas.openxmlformats.org/officeDocument/2006/relationships" ax:classid="{8BD21D50-EC42-11CE-9E0D-00AA006002F3}" r:id="rId1"/>
</file>

<file path=xl/activeX/activeX39.xml><?xml version="1.0" encoding="utf-8"?>
<ax:ocx xmlns:ax="http://schemas.microsoft.com/office/2006/activeX" xmlns:r="http://schemas.openxmlformats.org/officeDocument/2006/relationships" ax:classid="{8BD21D50-EC42-11CE-9E0D-00AA006002F3}" r:id="rId1"/>
</file>

<file path=xl/activeX/activeX40.xml><?xml version="1.0" encoding="utf-8"?>
<ax:ocx xmlns:ax="http://schemas.microsoft.com/office/2006/activeX" xmlns:r="http://schemas.openxmlformats.org/officeDocument/2006/relationships" ax:classid="{8BD21D50-EC42-11CE-9E0D-00AA006002F3}" r:id="rId1"/>
</file>

<file path=xl/activeX/activeX41.xml><?xml version="1.0" encoding="utf-8"?>
<ax:ocx xmlns:ax="http://schemas.microsoft.com/office/2006/activeX" xmlns:r="http://schemas.openxmlformats.org/officeDocument/2006/relationships" ax:classid="{8BD21D50-EC42-11CE-9E0D-00AA006002F3}" r:id="rId1"/>
</file>

<file path=xl/activeX/activeX42.xml><?xml version="1.0" encoding="utf-8"?>
<ax:ocx xmlns:ax="http://schemas.microsoft.com/office/2006/activeX" xmlns:r="http://schemas.openxmlformats.org/officeDocument/2006/relationships" ax:classid="{8BD21D50-EC42-11CE-9E0D-00AA006002F3}" r:id="rId1"/>
</file>

<file path=xl/activeX/activeX43.xml><?xml version="1.0" encoding="utf-8"?>
<ax:ocx xmlns:ax="http://schemas.microsoft.com/office/2006/activeX" xmlns:r="http://schemas.openxmlformats.org/officeDocument/2006/relationships" ax:classid="{8BD21D50-EC42-11CE-9E0D-00AA006002F3}" r:id="rId1"/>
</file>

<file path=xl/activeX/activeX44.xml><?xml version="1.0" encoding="utf-8"?>
<ax:ocx xmlns:ax="http://schemas.microsoft.com/office/2006/activeX" xmlns:r="http://schemas.openxmlformats.org/officeDocument/2006/relationships" ax:classid="{8BD21D50-EC42-11CE-9E0D-00AA006002F3}" r:id="rId1"/>
</file>

<file path=xl/activeX/activeX45.xml><?xml version="1.0" encoding="utf-8"?>
<ax:ocx xmlns:ax="http://schemas.microsoft.com/office/2006/activeX" xmlns:r="http://schemas.openxmlformats.org/officeDocument/2006/relationships" ax:classid="{8BD21D50-EC42-11CE-9E0D-00AA006002F3}" r:id="rId1"/>
</file>

<file path=xl/activeX/activeX46.xml><?xml version="1.0" encoding="utf-8"?>
<ax:ocx xmlns:ax="http://schemas.microsoft.com/office/2006/activeX" xmlns:r="http://schemas.openxmlformats.org/officeDocument/2006/relationships" ax:classid="{8BD21D50-EC42-11CE-9E0D-00AA006002F3}" r:id="rId1"/>
</file>

<file path=xl/activeX/activeX47.xml><?xml version="1.0" encoding="utf-8"?>
<ax:ocx xmlns:ax="http://schemas.microsoft.com/office/2006/activeX" xmlns:r="http://schemas.openxmlformats.org/officeDocument/2006/relationships" ax:classid="{8BD21D50-EC42-11CE-9E0D-00AA006002F3}" r:id="rId1"/>
</file>

<file path=xl/activeX/activeX48.xml><?xml version="1.0" encoding="utf-8"?>
<ax:ocx xmlns:ax="http://schemas.microsoft.com/office/2006/activeX" xmlns:r="http://schemas.openxmlformats.org/officeDocument/2006/relationships" ax:classid="{8BD21D50-EC42-11CE-9E0D-00AA006002F3}" r:id="rId1"/>
</file>

<file path=xl/activeX/activeX49.xml><?xml version="1.0" encoding="utf-8"?>
<ax:ocx xmlns:ax="http://schemas.microsoft.com/office/2006/activeX" xmlns:r="http://schemas.openxmlformats.org/officeDocument/2006/relationships" ax:classid="{8BD21D50-EC42-11CE-9E0D-00AA006002F3}" r:id="rId1"/>
</file>

<file path=xl/activeX/activeX50.xml><?xml version="1.0" encoding="utf-8"?>
<ax:ocx xmlns:ax="http://schemas.microsoft.com/office/2006/activeX" xmlns:r="http://schemas.openxmlformats.org/officeDocument/2006/relationships" ax:classid="{8BD21D50-EC42-11CE-9E0D-00AA006002F3}" r:id="rId1"/>
</file>

<file path=xl/activeX/activeX51.xml><?xml version="1.0" encoding="utf-8"?>
<ax:ocx xmlns:ax="http://schemas.microsoft.com/office/2006/activeX" xmlns:r="http://schemas.openxmlformats.org/officeDocument/2006/relationships" ax:classid="{8BD21D50-EC42-11CE-9E0D-00AA006002F3}" r:id="rId1"/>
</file>

<file path=xl/activeX/activeX52.xml><?xml version="1.0" encoding="utf-8"?>
<ax:ocx xmlns:ax="http://schemas.microsoft.com/office/2006/activeX" xmlns:r="http://schemas.openxmlformats.org/officeDocument/2006/relationships" ax:classid="{8BD21D50-EC42-11CE-9E0D-00AA006002F3}" r:id="rId1"/>
</file>

<file path=xl/activeX/activeX53.xml><?xml version="1.0" encoding="utf-8"?>
<ax:ocx xmlns:ax="http://schemas.microsoft.com/office/2006/activeX" xmlns:r="http://schemas.openxmlformats.org/officeDocument/2006/relationships" ax:classid="{8BD21D50-EC42-11CE-9E0D-00AA006002F3}" r:id="rId1"/>
</file>

<file path=xl/activeX/activeX54.xml><?xml version="1.0" encoding="utf-8"?>
<ax:ocx xmlns:ax="http://schemas.microsoft.com/office/2006/activeX" xmlns:r="http://schemas.openxmlformats.org/officeDocument/2006/relationships" ax:classid="{8BD21D50-EC42-11CE-9E0D-00AA006002F3}" r:id="rId1"/>
</file>

<file path=xl/activeX/activeX55.xml><?xml version="1.0" encoding="utf-8"?>
<ax:ocx xmlns:ax="http://schemas.microsoft.com/office/2006/activeX" xmlns:r="http://schemas.openxmlformats.org/officeDocument/2006/relationships" ax:classid="{8BD21D50-EC42-11CE-9E0D-00AA006002F3}" r:id="rId1"/>
</file>

<file path=xl/activeX/activeX56.xml><?xml version="1.0" encoding="utf-8"?>
<ax:ocx xmlns:ax="http://schemas.microsoft.com/office/2006/activeX" xmlns:r="http://schemas.openxmlformats.org/officeDocument/2006/relationships" ax:classid="{8BD21D50-EC42-11CE-9E0D-00AA006002F3}" r:id="rId1"/>
</file>

<file path=xl/activeX/activeX57.xml><?xml version="1.0" encoding="utf-8"?>
<ax:ocx xmlns:ax="http://schemas.microsoft.com/office/2006/activeX" xmlns:r="http://schemas.openxmlformats.org/officeDocument/2006/relationships" ax:classid="{8BD21D50-EC42-11CE-9E0D-00AA006002F3}" r:id="rId1"/>
</file>

<file path=xl/activeX/activeX58.xml><?xml version="1.0" encoding="utf-8"?>
<ax:ocx xmlns:ax="http://schemas.microsoft.com/office/2006/activeX" xmlns:r="http://schemas.openxmlformats.org/officeDocument/2006/relationships" ax:classid="{8BD21D50-EC42-11CE-9E0D-00AA006002F3}" r:id="rId1"/>
</file>

<file path=xl/activeX/activeX59.xml><?xml version="1.0" encoding="utf-8"?>
<ax:ocx xmlns:ax="http://schemas.microsoft.com/office/2006/activeX" xmlns:r="http://schemas.openxmlformats.org/officeDocument/2006/relationships" ax:classid="{8BD21D50-EC42-11CE-9E0D-00AA006002F3}" r:id="rId1"/>
</file>

<file path=xl/activeX/activeX60.xml><?xml version="1.0" encoding="utf-8"?>
<ax:ocx xmlns:ax="http://schemas.microsoft.com/office/2006/activeX" xmlns:r="http://schemas.openxmlformats.org/officeDocument/2006/relationships" ax:classid="{8BD21D50-EC42-11CE-9E0D-00AA006002F3}" r:id="rId1"/>
</file>

<file path=xl/activeX/activeX61.xml><?xml version="1.0" encoding="utf-8"?>
<ax:ocx xmlns:ax="http://schemas.microsoft.com/office/2006/activeX" xmlns:r="http://schemas.openxmlformats.org/officeDocument/2006/relationships" ax:classid="{8BD21D50-EC42-11CE-9E0D-00AA006002F3}" r:id="rId1"/>
</file>

<file path=xl/activeX/activeX62.xml><?xml version="1.0" encoding="utf-8"?>
<ax:ocx xmlns:ax="http://schemas.microsoft.com/office/2006/activeX" xmlns:r="http://schemas.openxmlformats.org/officeDocument/2006/relationships" ax:classid="{8BD21D50-EC42-11CE-9E0D-00AA006002F3}" r:id="rId1"/>
</file>

<file path=xl/activeX/activeX63.xml><?xml version="1.0" encoding="utf-8"?>
<ax:ocx xmlns:ax="http://schemas.microsoft.com/office/2006/activeX" xmlns:r="http://schemas.openxmlformats.org/officeDocument/2006/relationships" ax:classid="{8BD21D50-EC42-11CE-9E0D-00AA006002F3}" r:id="rId1"/>
</file>

<file path=xl/activeX/activeX64.xml><?xml version="1.0" encoding="utf-8"?>
<ax:ocx xmlns:ax="http://schemas.microsoft.com/office/2006/activeX" xmlns:r="http://schemas.openxmlformats.org/officeDocument/2006/relationships" ax:classid="{8BD21D50-EC42-11CE-9E0D-00AA006002F3}" r:id="rId1"/>
</file>

<file path=xl/activeX/activeX65.xml><?xml version="1.0" encoding="utf-8"?>
<ax:ocx xmlns:ax="http://schemas.microsoft.com/office/2006/activeX" xmlns:r="http://schemas.openxmlformats.org/officeDocument/2006/relationships" ax:classid="{8BD21D50-EC42-11CE-9E0D-00AA006002F3}" r:id="rId1"/>
</file>

<file path=xl/activeX/activeX66.xml><?xml version="1.0" encoding="utf-8"?>
<ax:ocx xmlns:ax="http://schemas.microsoft.com/office/2006/activeX" xmlns:r="http://schemas.openxmlformats.org/officeDocument/2006/relationships" ax:classid="{8BD21D50-EC42-11CE-9E0D-00AA006002F3}" r:id="rId1"/>
</file>

<file path=xl/activeX/activeX67.xml><?xml version="1.0" encoding="utf-8"?>
<ax:ocx xmlns:ax="http://schemas.microsoft.com/office/2006/activeX" xmlns:r="http://schemas.openxmlformats.org/officeDocument/2006/relationships" ax:classid="{8BD21D50-EC42-11CE-9E0D-00AA006002F3}" r:id="rId1"/>
</file>

<file path=xl/activeX/activeX68.xml><?xml version="1.0" encoding="utf-8"?>
<ax:ocx xmlns:ax="http://schemas.microsoft.com/office/2006/activeX" xmlns:r="http://schemas.openxmlformats.org/officeDocument/2006/relationships" ax:classid="{8BD21D50-EC42-11CE-9E0D-00AA006002F3}" r:id="rId1"/>
</file>

<file path=xl/activeX/activeX69.xml><?xml version="1.0" encoding="utf-8"?>
<ax:ocx xmlns:ax="http://schemas.microsoft.com/office/2006/activeX" xmlns:r="http://schemas.openxmlformats.org/officeDocument/2006/relationships" ax:classid="{8BD21D50-EC42-11CE-9E0D-00AA006002F3}" r:id="rId1"/>
</file>

<file path=xl/activeX/activeX70.xml><?xml version="1.0" encoding="utf-8"?>
<ax:ocx xmlns:ax="http://schemas.microsoft.com/office/2006/activeX" xmlns:r="http://schemas.openxmlformats.org/officeDocument/2006/relationships" ax:classid="{8BD21D50-EC42-11CE-9E0D-00AA006002F3}" r:id="rId1"/>
</file>

<file path=xl/activeX/activeX71.xml><?xml version="1.0" encoding="utf-8"?>
<ax:ocx xmlns:ax="http://schemas.microsoft.com/office/2006/activeX" xmlns:r="http://schemas.openxmlformats.org/officeDocument/2006/relationships" ax:classid="{8BD21D50-EC42-11CE-9E0D-00AA006002F3}" r:id="rId1"/>
</file>

<file path=xl/activeX/activeX72.xml><?xml version="1.0" encoding="utf-8"?>
<ax:ocx xmlns:ax="http://schemas.microsoft.com/office/2006/activeX" xmlns:r="http://schemas.openxmlformats.org/officeDocument/2006/relationships" ax:classid="{8BD21D50-EC42-11CE-9E0D-00AA006002F3}" r:id="rId1"/>
</file>

<file path=xl/activeX/activeX73.xml><?xml version="1.0" encoding="utf-8"?>
<ax:ocx xmlns:ax="http://schemas.microsoft.com/office/2006/activeX" xmlns:r="http://schemas.openxmlformats.org/officeDocument/2006/relationships" ax:classid="{8BD21D50-EC42-11CE-9E0D-00AA006002F3}" r:id="rId1"/>
</file>

<file path=xl/activeX/activeX74.xml><?xml version="1.0" encoding="utf-8"?>
<ax:ocx xmlns:ax="http://schemas.microsoft.com/office/2006/activeX" xmlns:r="http://schemas.openxmlformats.org/officeDocument/2006/relationships" ax:classid="{8BD21D50-EC42-11CE-9E0D-00AA006002F3}" r:id="rId1"/>
</file>

<file path=xl/activeX/activeX75.xml><?xml version="1.0" encoding="utf-8"?>
<ax:ocx xmlns:ax="http://schemas.microsoft.com/office/2006/activeX" xmlns:r="http://schemas.openxmlformats.org/officeDocument/2006/relationships" ax:classid="{8BD21D50-EC42-11CE-9E0D-00AA006002F3}" r:id="rId1"/>
</file>

<file path=xl/activeX/activeX76.xml><?xml version="1.0" encoding="utf-8"?>
<ax:ocx xmlns:ax="http://schemas.microsoft.com/office/2006/activeX" xmlns:r="http://schemas.openxmlformats.org/officeDocument/2006/relationships" ax:classid="{8BD21D50-EC42-11CE-9E0D-00AA006002F3}" r:id="rId1"/>
</file>

<file path=xl/activeX/activeX77.xml><?xml version="1.0" encoding="utf-8"?>
<ax:ocx xmlns:ax="http://schemas.microsoft.com/office/2006/activeX" xmlns:r="http://schemas.openxmlformats.org/officeDocument/2006/relationships" ax:classid="{8BD21D50-EC42-11CE-9E0D-00AA006002F3}" r:id="rId1"/>
</file>

<file path=xl/activeX/activeX78.xml><?xml version="1.0" encoding="utf-8"?>
<ax:ocx xmlns:ax="http://schemas.microsoft.com/office/2006/activeX" xmlns:r="http://schemas.openxmlformats.org/officeDocument/2006/relationships" ax:classid="{8BD21D50-EC42-11CE-9E0D-00AA006002F3}" r:id="rId1"/>
</file>

<file path=xl/activeX/activeX79.xml><?xml version="1.0" encoding="utf-8"?>
<ax:ocx xmlns:ax="http://schemas.microsoft.com/office/2006/activeX" xmlns:r="http://schemas.openxmlformats.org/officeDocument/2006/relationships" ax:classid="{8BD21D50-EC42-11CE-9E0D-00AA006002F3}" r:id="rId1"/>
</file>

<file path=xl/activeX/activeX80.xml><?xml version="1.0" encoding="utf-8"?>
<ax:ocx xmlns:ax="http://schemas.microsoft.com/office/2006/activeX" xmlns:r="http://schemas.openxmlformats.org/officeDocument/2006/relationships" ax:classid="{8BD21D50-EC42-11CE-9E0D-00AA006002F3}" r:id="rId1"/>
</file>

<file path=xl/activeX/activeX81.xml><?xml version="1.0" encoding="utf-8"?>
<ax:ocx xmlns:ax="http://schemas.microsoft.com/office/2006/activeX" xmlns:r="http://schemas.openxmlformats.org/officeDocument/2006/relationships" ax:classid="{8BD21D50-EC42-11CE-9E0D-00AA006002F3}" r:id="rId1"/>
</file>

<file path=xl/activeX/activeX82.xml><?xml version="1.0" encoding="utf-8"?>
<ax:ocx xmlns:ax="http://schemas.microsoft.com/office/2006/activeX" xmlns:r="http://schemas.openxmlformats.org/officeDocument/2006/relationships" ax:classid="{8BD21D50-EC42-11CE-9E0D-00AA006002F3}" r:id="rId1"/>
</file>

<file path=xl/activeX/activeX83.xml><?xml version="1.0" encoding="utf-8"?>
<ax:ocx xmlns:ax="http://schemas.microsoft.com/office/2006/activeX" xmlns:r="http://schemas.openxmlformats.org/officeDocument/2006/relationships" ax:classid="{8BD21D50-EC42-11CE-9E0D-00AA006002F3}" r:id="rId1"/>
</file>

<file path=xl/activeX/activeX84.xml><?xml version="1.0" encoding="utf-8"?>
<ax:ocx xmlns:ax="http://schemas.microsoft.com/office/2006/activeX" xmlns:r="http://schemas.openxmlformats.org/officeDocument/2006/relationships" ax:classid="{8BD21D50-EC42-11CE-9E0D-00AA006002F3}" r:id="rId1"/>
</file>

<file path=xl/activeX/activeX85.xml><?xml version="1.0" encoding="utf-8"?>
<ax:ocx xmlns:ax="http://schemas.microsoft.com/office/2006/activeX" xmlns:r="http://schemas.openxmlformats.org/officeDocument/2006/relationships" ax:classid="{8BD21D50-EC42-11CE-9E0D-00AA006002F3}" r:id="rId1"/>
</file>

<file path=xl/activeX/activeX86.xml><?xml version="1.0" encoding="utf-8"?>
<ax:ocx xmlns:ax="http://schemas.microsoft.com/office/2006/activeX" xmlns:r="http://schemas.openxmlformats.org/officeDocument/2006/relationships" ax:classid="{8BD21D50-EC42-11CE-9E0D-00AA006002F3}" r:id="rId1"/>
</file>

<file path=xl/activeX/activeX87.xml><?xml version="1.0" encoding="utf-8"?>
<ax:ocx xmlns:ax="http://schemas.microsoft.com/office/2006/activeX" xmlns:r="http://schemas.openxmlformats.org/officeDocument/2006/relationships" ax:classid="{8BD21D50-EC42-11CE-9E0D-00AA006002F3}" r:id="rId1"/>
</file>

<file path=xl/activeX/activeX88.xml><?xml version="1.0" encoding="utf-8"?>
<ax:ocx xmlns:ax="http://schemas.microsoft.com/office/2006/activeX" xmlns:r="http://schemas.openxmlformats.org/officeDocument/2006/relationships" ax:classid="{8BD21D50-EC42-11CE-9E0D-00AA006002F3}" r:id="rId1"/>
</file>

<file path=xl/activeX/activeX89.xml><?xml version="1.0" encoding="utf-8"?>
<ax:ocx xmlns:ax="http://schemas.microsoft.com/office/2006/activeX" xmlns:r="http://schemas.openxmlformats.org/officeDocument/2006/relationships" ax:classid="{8BD21D50-EC42-11CE-9E0D-00AA006002F3}" r:id="rId1"/>
</file>

<file path=xl/activeX/activeX90.xml><?xml version="1.0" encoding="utf-8"?>
<ax:ocx xmlns:ax="http://schemas.microsoft.com/office/2006/activeX" xmlns:r="http://schemas.openxmlformats.org/officeDocument/2006/relationships" ax:classid="{8BD21D50-EC42-11CE-9E0D-00AA006002F3}" r:id="rId1"/>
</file>

<file path=xl/activeX/activeX91.xml><?xml version="1.0" encoding="utf-8"?>
<ax:ocx xmlns:ax="http://schemas.microsoft.com/office/2006/activeX" xmlns:r="http://schemas.openxmlformats.org/officeDocument/2006/relationships" ax:classid="{8BD21D50-EC42-11CE-9E0D-00AA006002F3}" r:id="rId1"/>
</file>

<file path=xl/activeX/activeX92.xml><?xml version="1.0" encoding="utf-8"?>
<ax:ocx xmlns:ax="http://schemas.microsoft.com/office/2006/activeX" xmlns:r="http://schemas.openxmlformats.org/officeDocument/2006/relationships" ax:classid="{8BD21D50-EC42-11CE-9E0D-00AA006002F3}" r:id="rId1"/>
</file>

<file path=xl/activeX/activeX93.xml><?xml version="1.0" encoding="utf-8"?>
<ax:ocx xmlns:ax="http://schemas.microsoft.com/office/2006/activeX" xmlns:r="http://schemas.openxmlformats.org/officeDocument/2006/relationships" ax:classid="{8BD21D50-EC42-11CE-9E0D-00AA006002F3}" r:id="rId1"/>
</file>

<file path=xl/activeX/activeX94.xml><?xml version="1.0" encoding="utf-8"?>
<ax:ocx xmlns:ax="http://schemas.microsoft.com/office/2006/activeX" xmlns:r="http://schemas.openxmlformats.org/officeDocument/2006/relationships" ax:classid="{8BD21D50-EC42-11CE-9E0D-00AA006002F3}" r:id="rId1"/>
</file>

<file path=xl/activeX/activeX95.xml><?xml version="1.0" encoding="utf-8"?>
<ax:ocx xmlns:ax="http://schemas.microsoft.com/office/2006/activeX" xmlns:r="http://schemas.openxmlformats.org/officeDocument/2006/relationships" ax:classid="{8BD21D50-EC42-11CE-9E0D-00AA006002F3}" r:id="rId1"/>
</file>

<file path=xl/activeX/activeX96.xml><?xml version="1.0" encoding="utf-8"?>
<ax:ocx xmlns:ax="http://schemas.microsoft.com/office/2006/activeX" xmlns:r="http://schemas.openxmlformats.org/officeDocument/2006/relationships" ax:classid="{8BD21D50-EC42-11CE-9E0D-00AA006002F3}" r:id="rId1"/>
</file>

<file path=xl/activeX/activeX97.xml><?xml version="1.0" encoding="utf-8"?>
<ax:ocx xmlns:ax="http://schemas.microsoft.com/office/2006/activeX" xmlns:r="http://schemas.openxmlformats.org/officeDocument/2006/relationships" ax:classid="{8BD21D50-EC42-11CE-9E0D-00AA006002F3}" r:id="rId1"/>
</file>

<file path=xl/activeX/activeX98.xml><?xml version="1.0" encoding="utf-8"?>
<ax:ocx xmlns:ax="http://schemas.microsoft.com/office/2006/activeX" xmlns:r="http://schemas.openxmlformats.org/officeDocument/2006/relationships" ax:classid="{8BD21D50-EC42-11CE-9E0D-00AA006002F3}" r:id="rId1"/>
</file>

<file path=xl/activeX/activeX99.xml><?xml version="1.0" encoding="utf-8"?>
<ax:ocx xmlns:ax="http://schemas.microsoft.com/office/2006/activeX" xmlns:r="http://schemas.openxmlformats.org/officeDocument/2006/relationships" ax:classid="{8BD21D50-EC42-11CE-9E0D-00AA006002F3}" r:id="rId1"/>
</file>

<file path=xl/activeX/activeX100.xml><?xml version="1.0" encoding="utf-8"?>
<ax:ocx xmlns:ax="http://schemas.microsoft.com/office/2006/activeX" xmlns:r="http://schemas.openxmlformats.org/officeDocument/2006/relationships" ax:classid="{8BD21D50-EC42-11CE-9E0D-00AA006002F3}" r:id="rId1"/>
</file>

<file path=xl/activeX/activeX101.xml><?xml version="1.0" encoding="utf-8"?>
<ax:ocx xmlns:ax="http://schemas.microsoft.com/office/2006/activeX" xmlns:r="http://schemas.openxmlformats.org/officeDocument/2006/relationships" ax:classid="{8BD21D50-EC42-11CE-9E0D-00AA006002F3}" r:id="rId1"/>
</file>

<file path=xl/activeX/activeX102.xml><?xml version="1.0" encoding="utf-8"?>
<ax:ocx xmlns:ax="http://schemas.microsoft.com/office/2006/activeX" xmlns:r="http://schemas.openxmlformats.org/officeDocument/2006/relationships" ax:classid="{8BD21D50-EC42-11CE-9E0D-00AA006002F3}" r:id="rId1"/>
</file>

<file path=xl/activeX/activeX103.xml><?xml version="1.0" encoding="utf-8"?>
<ax:ocx xmlns:ax="http://schemas.microsoft.com/office/2006/activeX" xmlns:r="http://schemas.openxmlformats.org/officeDocument/2006/relationships" ax:classid="{8BD21D50-EC42-11CE-9E0D-00AA006002F3}" r:id="rId1"/>
</file>

<file path=xl/activeX/activeX104.xml><?xml version="1.0" encoding="utf-8"?>
<ax:ocx xmlns:ax="http://schemas.microsoft.com/office/2006/activeX" xmlns:r="http://schemas.openxmlformats.org/officeDocument/2006/relationships" ax:classid="{8BD21D50-EC42-11CE-9E0D-00AA006002F3}" r:id="rId1"/>
</file>

<file path=xl/activeX/activeX105.xml><?xml version="1.0" encoding="utf-8"?>
<ax:ocx xmlns:ax="http://schemas.microsoft.com/office/2006/activeX" xmlns:r="http://schemas.openxmlformats.org/officeDocument/2006/relationships" ax:classid="{8BD21D50-EC42-11CE-9E0D-00AA006002F3}" r:id="rId1"/>
</file>

<file path=xl/activeX/activeX106.xml><?xml version="1.0" encoding="utf-8"?>
<ax:ocx xmlns:ax="http://schemas.microsoft.com/office/2006/activeX" xmlns:r="http://schemas.openxmlformats.org/officeDocument/2006/relationships" ax:classid="{8BD21D50-EC42-11CE-9E0D-00AA006002F3}" r:id="rId1"/>
</file>

<file path=xl/activeX/activeX107.xml><?xml version="1.0" encoding="utf-8"?>
<ax:ocx xmlns:ax="http://schemas.microsoft.com/office/2006/activeX" xmlns:r="http://schemas.openxmlformats.org/officeDocument/2006/relationships" ax:classid="{8BD21D50-EC42-11CE-9E0D-00AA006002F3}" r:id="rId1"/>
</file>

<file path=xl/activeX/activeX108.xml><?xml version="1.0" encoding="utf-8"?>
<ax:ocx xmlns:ax="http://schemas.microsoft.com/office/2006/activeX" xmlns:r="http://schemas.openxmlformats.org/officeDocument/2006/relationships" ax:classid="{8BD21D50-EC42-11CE-9E0D-00AA006002F3}" r:id="rId1"/>
</file>

<file path=xl/activeX/activeX109.xml><?xml version="1.0" encoding="utf-8"?>
<ax:ocx xmlns:ax="http://schemas.microsoft.com/office/2006/activeX" xmlns:r="http://schemas.openxmlformats.org/officeDocument/2006/relationships" ax:classid="{8BD21D50-EC42-11CE-9E0D-00AA006002F3}" r:id="rId1"/>
</file>

<file path=xl/activeX/activeX110.xml><?xml version="1.0" encoding="utf-8"?>
<ax:ocx xmlns:ax="http://schemas.microsoft.com/office/2006/activeX" xmlns:r="http://schemas.openxmlformats.org/officeDocument/2006/relationships" ax:classid="{8BD21D50-EC42-11CE-9E0D-00AA006002F3}" r:id="rId1"/>
</file>

<file path=xl/activeX/activeX111.xml><?xml version="1.0" encoding="utf-8"?>
<ax:ocx xmlns:ax="http://schemas.microsoft.com/office/2006/activeX" xmlns:r="http://schemas.openxmlformats.org/officeDocument/2006/relationships" ax:classid="{8BD21D50-EC42-11CE-9E0D-00AA006002F3}" r:id="rId1"/>
</file>

<file path=xl/activeX/activeX112.xml><?xml version="1.0" encoding="utf-8"?>
<ax:ocx xmlns:ax="http://schemas.microsoft.com/office/2006/activeX" xmlns:r="http://schemas.openxmlformats.org/officeDocument/2006/relationships" ax:classid="{8BD21D50-EC42-11CE-9E0D-00AA006002F3}" r:id="rId1"/>
</file>

<file path=xl/activeX/activeX113.xml><?xml version="1.0" encoding="utf-8"?>
<ax:ocx xmlns:ax="http://schemas.microsoft.com/office/2006/activeX" xmlns:r="http://schemas.openxmlformats.org/officeDocument/2006/relationships" ax:classid="{8BD21D50-EC42-11CE-9E0D-00AA006002F3}" r:id="rId1"/>
</file>

<file path=xl/activeX/activeX114.xml><?xml version="1.0" encoding="utf-8"?>
<ax:ocx xmlns:ax="http://schemas.microsoft.com/office/2006/activeX" xmlns:r="http://schemas.openxmlformats.org/officeDocument/2006/relationships" ax:classid="{8BD21D50-EC42-11CE-9E0D-00AA006002F3}" r:id="rId1"/>
</file>

<file path=xl/activeX/activeX115.xml><?xml version="1.0" encoding="utf-8"?>
<ax:ocx xmlns:ax="http://schemas.microsoft.com/office/2006/activeX" xmlns:r="http://schemas.openxmlformats.org/officeDocument/2006/relationships" ax:classid="{8BD21D50-EC42-11CE-9E0D-00AA006002F3}" r:id="rId1"/>
</file>

<file path=xl/activeX/activeX116.xml><?xml version="1.0" encoding="utf-8"?>
<ax:ocx xmlns:ax="http://schemas.microsoft.com/office/2006/activeX" xmlns:r="http://schemas.openxmlformats.org/officeDocument/2006/relationships" ax:classid="{8BD21D50-EC42-11CE-9E0D-00AA006002F3}" r:id="rId1"/>
</file>

<file path=xl/activeX/activeX117.xml><?xml version="1.0" encoding="utf-8"?>
<ax:ocx xmlns:ax="http://schemas.microsoft.com/office/2006/activeX" xmlns:r="http://schemas.openxmlformats.org/officeDocument/2006/relationships" ax:classid="{8BD21D50-EC42-11CE-9E0D-00AA006002F3}" r:id="rId1"/>
</file>

<file path=xl/activeX/activeX118.xml><?xml version="1.0" encoding="utf-8"?>
<ax:ocx xmlns:ax="http://schemas.microsoft.com/office/2006/activeX" xmlns:r="http://schemas.openxmlformats.org/officeDocument/2006/relationships" ax:classid="{8BD21D50-EC42-11CE-9E0D-00AA006002F3}" r:id="rId1"/>
</file>

<file path=xl/activeX/activeX119.xml><?xml version="1.0" encoding="utf-8"?>
<ax:ocx xmlns:ax="http://schemas.microsoft.com/office/2006/activeX" xmlns:r="http://schemas.openxmlformats.org/officeDocument/2006/relationships" ax:classid="{8BD21D50-EC42-11CE-9E0D-00AA006002F3}" r:id="rId1"/>
</file>

<file path=xl/activeX/activeX120.xml><?xml version="1.0" encoding="utf-8"?>
<ax:ocx xmlns:ax="http://schemas.microsoft.com/office/2006/activeX" xmlns:r="http://schemas.openxmlformats.org/officeDocument/2006/relationships" ax:classid="{8BD21D50-EC42-11CE-9E0D-00AA006002F3}" r:id="rId1"/>
</file>

<file path=xl/activeX/activeX121.xml><?xml version="1.0" encoding="utf-8"?>
<ax:ocx xmlns:ax="http://schemas.microsoft.com/office/2006/activeX" xmlns:r="http://schemas.openxmlformats.org/officeDocument/2006/relationships" ax:classid="{8BD21D50-EC42-11CE-9E0D-00AA006002F3}" r:id="rId1"/>
</file>

<file path=xl/activeX/activeX122.xml><?xml version="1.0" encoding="utf-8"?>
<ax:ocx xmlns:ax="http://schemas.microsoft.com/office/2006/activeX" xmlns:r="http://schemas.openxmlformats.org/officeDocument/2006/relationships" ax:classid="{8BD21D50-EC42-11CE-9E0D-00AA006002F3}" r:id="rId1"/>
</file>

<file path=xl/activeX/activeX123.xml><?xml version="1.0" encoding="utf-8"?>
<ax:ocx xmlns:ax="http://schemas.microsoft.com/office/2006/activeX" xmlns:r="http://schemas.openxmlformats.org/officeDocument/2006/relationships" ax:classid="{8BD21D50-EC42-11CE-9E0D-00AA006002F3}" r:id="rId1"/>
</file>

<file path=xl/activeX/activeX124.xml><?xml version="1.0" encoding="utf-8"?>
<ax:ocx xmlns:ax="http://schemas.microsoft.com/office/2006/activeX" xmlns:r="http://schemas.openxmlformats.org/officeDocument/2006/relationships" ax:classid="{8BD21D50-EC42-11CE-9E0D-00AA006002F3}" r:id="rId1"/>
</file>

<file path=xl/activeX/activeX125.xml><?xml version="1.0" encoding="utf-8"?>
<ax:ocx xmlns:ax="http://schemas.microsoft.com/office/2006/activeX" xmlns:r="http://schemas.openxmlformats.org/officeDocument/2006/relationships" ax:classid="{8BD21D50-EC42-11CE-9E0D-00AA006002F3}" r:id="rId1"/>
</file>

<file path=xl/activeX/activeX126.xml><?xml version="1.0" encoding="utf-8"?>
<ax:ocx xmlns:ax="http://schemas.microsoft.com/office/2006/activeX" xmlns:r="http://schemas.openxmlformats.org/officeDocument/2006/relationships" ax:classid="{8BD21D50-EC42-11CE-9E0D-00AA006002F3}" r:id="rId1"/>
</file>

<file path=xl/activeX/activeX127.xml><?xml version="1.0" encoding="utf-8"?>
<ax:ocx xmlns:ax="http://schemas.microsoft.com/office/2006/activeX" xmlns:r="http://schemas.openxmlformats.org/officeDocument/2006/relationships" ax:classid="{8BD21D50-EC42-11CE-9E0D-00AA006002F3}" r:id="rId1"/>
</file>

<file path=xl/activeX/activeX128.xml><?xml version="1.0" encoding="utf-8"?>
<ax:ocx xmlns:ax="http://schemas.microsoft.com/office/2006/activeX" xmlns:r="http://schemas.openxmlformats.org/officeDocument/2006/relationships" ax:classid="{8BD21D50-EC42-11CE-9E0D-00AA006002F3}" r:id="rId1"/>
</file>

<file path=xl/activeX/activeX129.xml><?xml version="1.0" encoding="utf-8"?>
<ax:ocx xmlns:ax="http://schemas.microsoft.com/office/2006/activeX" xmlns:r="http://schemas.openxmlformats.org/officeDocument/2006/relationships" ax:classid="{8BD21D50-EC42-11CE-9E0D-00AA006002F3}" r:id="rId1"/>
</file>

<file path=xl/activeX/activeX130.xml><?xml version="1.0" encoding="utf-8"?>
<ax:ocx xmlns:ax="http://schemas.microsoft.com/office/2006/activeX" xmlns:r="http://schemas.openxmlformats.org/officeDocument/2006/relationships" ax:classid="{8BD21D50-EC42-11CE-9E0D-00AA006002F3}" r:id="rId1"/>
</file>

<file path=xl/activeX/activeX131.xml><?xml version="1.0" encoding="utf-8"?>
<ax:ocx xmlns:ax="http://schemas.microsoft.com/office/2006/activeX" xmlns:r="http://schemas.openxmlformats.org/officeDocument/2006/relationships" ax:classid="{8BD21D50-EC42-11CE-9E0D-00AA006002F3}" r:id="rId1"/>
</file>

<file path=xl/activeX/activeX132.xml><?xml version="1.0" encoding="utf-8"?>
<ax:ocx xmlns:ax="http://schemas.microsoft.com/office/2006/activeX" xmlns:r="http://schemas.openxmlformats.org/officeDocument/2006/relationships" ax:classid="{8BD21D50-EC42-11CE-9E0D-00AA006002F3}" r:id="rId1"/>
</file>

<file path=xl/activeX/activeX133.xml><?xml version="1.0" encoding="utf-8"?>
<ax:ocx xmlns:ax="http://schemas.microsoft.com/office/2006/activeX" xmlns:r="http://schemas.openxmlformats.org/officeDocument/2006/relationships" ax:classid="{8BD21D50-EC42-11CE-9E0D-00AA006002F3}" r:id="rId1"/>
</file>

<file path=xl/activeX/activeX134.xml><?xml version="1.0" encoding="utf-8"?>
<ax:ocx xmlns:ax="http://schemas.microsoft.com/office/2006/activeX" xmlns:r="http://schemas.openxmlformats.org/officeDocument/2006/relationships" ax:classid="{8BD21D50-EC42-11CE-9E0D-00AA006002F3}" r:id="rId1"/>
</file>

<file path=xl/activeX/activeX135.xml><?xml version="1.0" encoding="utf-8"?>
<ax:ocx xmlns:ax="http://schemas.microsoft.com/office/2006/activeX" xmlns:r="http://schemas.openxmlformats.org/officeDocument/2006/relationships" ax:classid="{8BD21D50-EC42-11CE-9E0D-00AA006002F3}" r:id="rId1"/>
</file>

<file path=xl/activeX/activeX136.xml><?xml version="1.0" encoding="utf-8"?>
<ax:ocx xmlns:ax="http://schemas.microsoft.com/office/2006/activeX" xmlns:r="http://schemas.openxmlformats.org/officeDocument/2006/relationships" ax:classid="{8BD21D50-EC42-11CE-9E0D-00AA006002F3}" r:id="rId1"/>
</file>

<file path=xl/activeX/activeX137.xml><?xml version="1.0" encoding="utf-8"?>
<ax:ocx xmlns:ax="http://schemas.microsoft.com/office/2006/activeX" xmlns:r="http://schemas.openxmlformats.org/officeDocument/2006/relationships" ax:classid="{8BD21D50-EC42-11CE-9E0D-00AA006002F3}" r:id="rId1"/>
</file>

<file path=xl/activeX/activeX138.xml><?xml version="1.0" encoding="utf-8"?>
<ax:ocx xmlns:ax="http://schemas.microsoft.com/office/2006/activeX" xmlns:r="http://schemas.openxmlformats.org/officeDocument/2006/relationships" ax:classid="{8BD21D50-EC42-11CE-9E0D-00AA006002F3}" r:id="rId1"/>
</file>

<file path=xl/activeX/activeX139.xml><?xml version="1.0" encoding="utf-8"?>
<ax:ocx xmlns:ax="http://schemas.microsoft.com/office/2006/activeX" xmlns:r="http://schemas.openxmlformats.org/officeDocument/2006/relationships" ax:classid="{8BD21D50-EC42-11CE-9E0D-00AA006002F3}" r:id="rId1"/>
</file>

<file path=xl/activeX/activeX140.xml><?xml version="1.0" encoding="utf-8"?>
<ax:ocx xmlns:ax="http://schemas.microsoft.com/office/2006/activeX" xmlns:r="http://schemas.openxmlformats.org/officeDocument/2006/relationships" ax:classid="{8BD21D50-EC42-11CE-9E0D-00AA006002F3}" r:id="rId1"/>
</file>

<file path=xl/activeX/activeX141.xml><?xml version="1.0" encoding="utf-8"?>
<ax:ocx xmlns:ax="http://schemas.microsoft.com/office/2006/activeX" xmlns:r="http://schemas.openxmlformats.org/officeDocument/2006/relationships" ax:classid="{8BD21D50-EC42-11CE-9E0D-00AA006002F3}" r:id="rId1"/>
</file>

<file path=xl/activeX/activeX142.xml><?xml version="1.0" encoding="utf-8"?>
<ax:ocx xmlns:ax="http://schemas.microsoft.com/office/2006/activeX" xmlns:r="http://schemas.openxmlformats.org/officeDocument/2006/relationships" ax:classid="{8BD21D50-EC42-11CE-9E0D-00AA006002F3}" r:id="rId1"/>
</file>

<file path=xl/activeX/activeX143.xml><?xml version="1.0" encoding="utf-8"?>
<ax:ocx xmlns:ax="http://schemas.microsoft.com/office/2006/activeX" xmlns:r="http://schemas.openxmlformats.org/officeDocument/2006/relationships" ax:classid="{8BD21D50-EC42-11CE-9E0D-00AA006002F3}" r:id="rId1"/>
</file>

<file path=xl/activeX/activeX144.xml><?xml version="1.0" encoding="utf-8"?>
<ax:ocx xmlns:ax="http://schemas.microsoft.com/office/2006/activeX" xmlns:r="http://schemas.openxmlformats.org/officeDocument/2006/relationships" ax:classid="{8BD21D50-EC42-11CE-9E0D-00AA006002F3}" r:id="rId1"/>
</file>

<file path=xl/activeX/activeX145.xml><?xml version="1.0" encoding="utf-8"?>
<ax:ocx xmlns:ax="http://schemas.microsoft.com/office/2006/activeX" xmlns:r="http://schemas.openxmlformats.org/officeDocument/2006/relationships" ax:classid="{8BD21D50-EC42-11CE-9E0D-00AA006002F3}" r:id="rId1"/>
</file>

<file path=xl/activeX/activeX146.xml><?xml version="1.0" encoding="utf-8"?>
<ax:ocx xmlns:ax="http://schemas.microsoft.com/office/2006/activeX" xmlns:r="http://schemas.openxmlformats.org/officeDocument/2006/relationships" ax:classid="{8BD21D50-EC42-11CE-9E0D-00AA006002F3}" r:id="rId1"/>
</file>

<file path=xl/activeX/activeX147.xml><?xml version="1.0" encoding="utf-8"?>
<ax:ocx xmlns:ax="http://schemas.microsoft.com/office/2006/activeX" xmlns:r="http://schemas.openxmlformats.org/officeDocument/2006/relationships" ax:classid="{8BD21D50-EC42-11CE-9E0D-00AA006002F3}" r:id="rId1"/>
</file>

<file path=xl/activeX/activeX148.xml><?xml version="1.0" encoding="utf-8"?>
<ax:ocx xmlns:ax="http://schemas.microsoft.com/office/2006/activeX" xmlns:r="http://schemas.openxmlformats.org/officeDocument/2006/relationships" ax:classid="{8BD21D50-EC42-11CE-9E0D-00AA006002F3}" r:id="rId1"/>
</file>

<file path=xl/activeX/activeX149.xml><?xml version="1.0" encoding="utf-8"?>
<ax:ocx xmlns:ax="http://schemas.microsoft.com/office/2006/activeX" xmlns:r="http://schemas.openxmlformats.org/officeDocument/2006/relationships" ax:classid="{8BD21D50-EC42-11CE-9E0D-00AA006002F3}" r:id="rId1"/>
</file>

<file path=xl/activeX/activeX150.xml><?xml version="1.0" encoding="utf-8"?>
<ax:ocx xmlns:ax="http://schemas.microsoft.com/office/2006/activeX" xmlns:r="http://schemas.openxmlformats.org/officeDocument/2006/relationships" ax:classid="{8BD21D50-EC42-11CE-9E0D-00AA006002F3}" r:id="rId1"/>
</file>

<file path=xl/activeX/activeX151.xml><?xml version="1.0" encoding="utf-8"?>
<ax:ocx xmlns:ax="http://schemas.microsoft.com/office/2006/activeX" xmlns:r="http://schemas.openxmlformats.org/officeDocument/2006/relationships" ax:classid="{8BD21D50-EC42-11CE-9E0D-00AA006002F3}" r:id="rId1"/>
</file>

<file path=xl/activeX/activeX152.xml><?xml version="1.0" encoding="utf-8"?>
<ax:ocx xmlns:ax="http://schemas.microsoft.com/office/2006/activeX" xmlns:r="http://schemas.openxmlformats.org/officeDocument/2006/relationships" ax:classid="{8BD21D50-EC42-11CE-9E0D-00AA006002F3}" r:id="rId1"/>
</file>

<file path=xl/activeX/activeX153.xml><?xml version="1.0" encoding="utf-8"?>
<ax:ocx xmlns:ax="http://schemas.microsoft.com/office/2006/activeX" xmlns:r="http://schemas.openxmlformats.org/officeDocument/2006/relationships" ax:classid="{8BD21D50-EC42-11CE-9E0D-00AA006002F3}" r:id="rId1"/>
</file>

<file path=xl/activeX/activeX154.xml><?xml version="1.0" encoding="utf-8"?>
<ax:ocx xmlns:ax="http://schemas.microsoft.com/office/2006/activeX" xmlns:r="http://schemas.openxmlformats.org/officeDocument/2006/relationships" ax:classid="{8BD21D50-EC42-11CE-9E0D-00AA006002F3}" r:id="rId1"/>
</file>

<file path=xl/activeX/activeX155.xml><?xml version="1.0" encoding="utf-8"?>
<ax:ocx xmlns:ax="http://schemas.microsoft.com/office/2006/activeX" xmlns:r="http://schemas.openxmlformats.org/officeDocument/2006/relationships" ax:classid="{8BD21D50-EC42-11CE-9E0D-00AA006002F3}" r:id="rId1"/>
</file>

<file path=xl/activeX/activeX156.xml><?xml version="1.0" encoding="utf-8"?>
<ax:ocx xmlns:ax="http://schemas.microsoft.com/office/2006/activeX" xmlns:r="http://schemas.openxmlformats.org/officeDocument/2006/relationships" ax:classid="{8BD21D50-EC42-11CE-9E0D-00AA006002F3}" r:id="rId1"/>
</file>

<file path=xl/activeX/activeX157.xml><?xml version="1.0" encoding="utf-8"?>
<ax:ocx xmlns:ax="http://schemas.microsoft.com/office/2006/activeX" xmlns:r="http://schemas.openxmlformats.org/officeDocument/2006/relationships" ax:classid="{8BD21D50-EC42-11CE-9E0D-00AA006002F3}" r:id="rId1"/>
</file>

<file path=xl/activeX/activeX158.xml><?xml version="1.0" encoding="utf-8"?>
<ax:ocx xmlns:ax="http://schemas.microsoft.com/office/2006/activeX" xmlns:r="http://schemas.openxmlformats.org/officeDocument/2006/relationships" ax:classid="{8BD21D50-EC42-11CE-9E0D-00AA006002F3}" r:id="rId1"/>
</file>

<file path=xl/activeX/activeX159.xml><?xml version="1.0" encoding="utf-8"?>
<ax:ocx xmlns:ax="http://schemas.microsoft.com/office/2006/activeX" xmlns:r="http://schemas.openxmlformats.org/officeDocument/2006/relationships" ax:classid="{8BD21D50-EC42-11CE-9E0D-00AA006002F3}" r:id="rId1"/>
</file>

<file path=xl/activeX/activeX160.xml><?xml version="1.0" encoding="utf-8"?>
<ax:ocx xmlns:ax="http://schemas.microsoft.com/office/2006/activeX" xmlns:r="http://schemas.openxmlformats.org/officeDocument/2006/relationships" ax:classid="{8BD21D50-EC42-11CE-9E0D-00AA006002F3}" r:id="rId1"/>
</file>

<file path=xl/activeX/activeX161.xml><?xml version="1.0" encoding="utf-8"?>
<ax:ocx xmlns:ax="http://schemas.microsoft.com/office/2006/activeX" xmlns:r="http://schemas.openxmlformats.org/officeDocument/2006/relationships" ax:classid="{8BD21D50-EC42-11CE-9E0D-00AA006002F3}" r:id="rId1"/>
</file>

<file path=xl/activeX/activeX162.xml><?xml version="1.0" encoding="utf-8"?>
<ax:ocx xmlns:ax="http://schemas.microsoft.com/office/2006/activeX" xmlns:r="http://schemas.openxmlformats.org/officeDocument/2006/relationships" ax:classid="{8BD21D50-EC42-11CE-9E0D-00AA006002F3}" r:id="rId1"/>
</file>

<file path=xl/activeX/activeX163.xml><?xml version="1.0" encoding="utf-8"?>
<ax:ocx xmlns:ax="http://schemas.microsoft.com/office/2006/activeX" xmlns:r="http://schemas.openxmlformats.org/officeDocument/2006/relationships" ax:classid="{8BD21D50-EC42-11CE-9E0D-00AA006002F3}" r:id="rId1"/>
</file>

<file path=xl/activeX/activeX164.xml><?xml version="1.0" encoding="utf-8"?>
<ax:ocx xmlns:ax="http://schemas.microsoft.com/office/2006/activeX" xmlns:r="http://schemas.openxmlformats.org/officeDocument/2006/relationships" ax:classid="{8BD21D50-EC42-11CE-9E0D-00AA006002F3}" r:id="rId1"/>
</file>

<file path=xl/activeX/activeX165.xml><?xml version="1.0" encoding="utf-8"?>
<ax:ocx xmlns:ax="http://schemas.microsoft.com/office/2006/activeX" xmlns:r="http://schemas.openxmlformats.org/officeDocument/2006/relationships" ax:classid="{8BD21D50-EC42-11CE-9E0D-00AA006002F3}" r:id="rId1"/>
</file>

<file path=xl/activeX/activeX166.xml><?xml version="1.0" encoding="utf-8"?>
<ax:ocx xmlns:ax="http://schemas.microsoft.com/office/2006/activeX" xmlns:r="http://schemas.openxmlformats.org/officeDocument/2006/relationships" ax:classid="{8BD21D50-EC42-11CE-9E0D-00AA006002F3}" r:id="rId1"/>
</file>

<file path=xl/activeX/activeX167.xml><?xml version="1.0" encoding="utf-8"?>
<ax:ocx xmlns:ax="http://schemas.microsoft.com/office/2006/activeX" xmlns:r="http://schemas.openxmlformats.org/officeDocument/2006/relationships" ax:classid="{8BD21D50-EC42-11CE-9E0D-00AA006002F3}" r:id="rId1"/>
</file>

<file path=xl/activeX/activeX168.xml><?xml version="1.0" encoding="utf-8"?>
<ax:ocx xmlns:ax="http://schemas.microsoft.com/office/2006/activeX" xmlns:r="http://schemas.openxmlformats.org/officeDocument/2006/relationships" ax:classid="{8BD21D50-EC42-11CE-9E0D-00AA006002F3}" r:id="rId1"/>
</file>

<file path=xl/activeX/activeX169.xml><?xml version="1.0" encoding="utf-8"?>
<ax:ocx xmlns:ax="http://schemas.microsoft.com/office/2006/activeX" xmlns:r="http://schemas.openxmlformats.org/officeDocument/2006/relationships" ax:classid="{8BD21D50-EC42-11CE-9E0D-00AA006002F3}" r:id="rId1"/>
</file>

<file path=xl/activeX/activeX170.xml><?xml version="1.0" encoding="utf-8"?>
<ax:ocx xmlns:ax="http://schemas.microsoft.com/office/2006/activeX" xmlns:r="http://schemas.openxmlformats.org/officeDocument/2006/relationships" ax:classid="{8BD21D50-EC42-11CE-9E0D-00AA006002F3}" r:id="rId1"/>
</file>

<file path=xl/activeX/activeX171.xml><?xml version="1.0" encoding="utf-8"?>
<ax:ocx xmlns:ax="http://schemas.microsoft.com/office/2006/activeX" xmlns:r="http://schemas.openxmlformats.org/officeDocument/2006/relationships" ax:classid="{8BD21D50-EC42-11CE-9E0D-00AA006002F3}" r:id="rId1"/>
</file>

<file path=xl/activeX/activeX172.xml><?xml version="1.0" encoding="utf-8"?>
<ax:ocx xmlns:ax="http://schemas.microsoft.com/office/2006/activeX" xmlns:r="http://schemas.openxmlformats.org/officeDocument/2006/relationships" ax:classid="{8BD21D50-EC42-11CE-9E0D-00AA006002F3}" r:id="rId1"/>
</file>

<file path=xl/activeX/activeX173.xml><?xml version="1.0" encoding="utf-8"?>
<ax:ocx xmlns:ax="http://schemas.microsoft.com/office/2006/activeX" xmlns:r="http://schemas.openxmlformats.org/officeDocument/2006/relationships" ax:classid="{8BD21D50-EC42-11CE-9E0D-00AA006002F3}" r:id="rId1"/>
</file>

<file path=xl/activeX/activeX174.xml><?xml version="1.0" encoding="utf-8"?>
<ax:ocx xmlns:ax="http://schemas.microsoft.com/office/2006/activeX" xmlns:r="http://schemas.openxmlformats.org/officeDocument/2006/relationships" ax:classid="{8BD21D50-EC42-11CE-9E0D-00AA006002F3}" r:id="rId1"/>
</file>

<file path=xl/activeX/activeX175.xml><?xml version="1.0" encoding="utf-8"?>
<ax:ocx xmlns:ax="http://schemas.microsoft.com/office/2006/activeX" xmlns:r="http://schemas.openxmlformats.org/officeDocument/2006/relationships" ax:classid="{8BD21D50-EC42-11CE-9E0D-00AA006002F3}" r:id="rId1"/>
</file>

<file path=xl/activeX/activeX176.xml><?xml version="1.0" encoding="utf-8"?>
<ax:ocx xmlns:ax="http://schemas.microsoft.com/office/2006/activeX" xmlns:r="http://schemas.openxmlformats.org/officeDocument/2006/relationships" ax:classid="{8BD21D50-EC42-11CE-9E0D-00AA006002F3}" r:id="rId1"/>
</file>

<file path=xl/activeX/activeX177.xml><?xml version="1.0" encoding="utf-8"?>
<ax:ocx xmlns:ax="http://schemas.microsoft.com/office/2006/activeX" xmlns:r="http://schemas.openxmlformats.org/officeDocument/2006/relationships" ax:classid="{8BD21D50-EC42-11CE-9E0D-00AA006002F3}" r:id="rId1"/>
</file>

<file path=xl/activeX/activeX178.xml><?xml version="1.0" encoding="utf-8"?>
<ax:ocx xmlns:ax="http://schemas.microsoft.com/office/2006/activeX" xmlns:r="http://schemas.openxmlformats.org/officeDocument/2006/relationships" ax:classid="{8BD21D50-EC42-11CE-9E0D-00AA006002F3}" r:id="rId1"/>
</file>

<file path=xl/activeX/activeX179.xml><?xml version="1.0" encoding="utf-8"?>
<ax:ocx xmlns:ax="http://schemas.microsoft.com/office/2006/activeX" xmlns:r="http://schemas.openxmlformats.org/officeDocument/2006/relationships" ax:classid="{8BD21D50-EC42-11CE-9E0D-00AA006002F3}" r:id="rId1"/>
</file>

<file path=xl/activeX/activeX180.xml><?xml version="1.0" encoding="utf-8"?>
<ax:ocx xmlns:ax="http://schemas.microsoft.com/office/2006/activeX" xmlns:r="http://schemas.openxmlformats.org/officeDocument/2006/relationships" ax:classid="{8BD21D50-EC42-11CE-9E0D-00AA006002F3}" r:id="rId1"/>
</file>

<file path=xl/activeX/activeX181.xml><?xml version="1.0" encoding="utf-8"?>
<ax:ocx xmlns:ax="http://schemas.microsoft.com/office/2006/activeX" xmlns:r="http://schemas.openxmlformats.org/officeDocument/2006/relationships" ax:classid="{8BD21D50-EC42-11CE-9E0D-00AA006002F3}" r:id="rId1"/>
</file>

<file path=xl/activeX/activeX182.xml><?xml version="1.0" encoding="utf-8"?>
<ax:ocx xmlns:ax="http://schemas.microsoft.com/office/2006/activeX" xmlns:r="http://schemas.openxmlformats.org/officeDocument/2006/relationships" ax:classid="{8BD21D50-EC42-11CE-9E0D-00AA006002F3}" r:id="rId1"/>
</file>

<file path=xl/activeX/activeX183.xml><?xml version="1.0" encoding="utf-8"?>
<ax:ocx xmlns:ax="http://schemas.microsoft.com/office/2006/activeX" xmlns:r="http://schemas.openxmlformats.org/officeDocument/2006/relationships" ax:classid="{8BD21D50-EC42-11CE-9E0D-00AA006002F3}" r:id="rId1"/>
</file>

<file path=xl/activeX/activeX184.xml><?xml version="1.0" encoding="utf-8"?>
<ax:ocx xmlns:ax="http://schemas.microsoft.com/office/2006/activeX" xmlns:r="http://schemas.openxmlformats.org/officeDocument/2006/relationships" ax:classid="{8BD21D50-EC42-11CE-9E0D-00AA006002F3}" r:id="rId1"/>
</file>

<file path=xl/activeX/activeX185.xml><?xml version="1.0" encoding="utf-8"?>
<ax:ocx xmlns:ax="http://schemas.microsoft.com/office/2006/activeX" xmlns:r="http://schemas.openxmlformats.org/officeDocument/2006/relationships" ax:classid="{8BD21D50-EC42-11CE-9E0D-00AA006002F3}" r:id="rId1"/>
</file>

<file path=xl/activeX/activeX186.xml><?xml version="1.0" encoding="utf-8"?>
<ax:ocx xmlns:ax="http://schemas.microsoft.com/office/2006/activeX" xmlns:r="http://schemas.openxmlformats.org/officeDocument/2006/relationships" ax:classid="{8BD21D50-EC42-11CE-9E0D-00AA006002F3}" r:id="rId1"/>
</file>

<file path=xl/activeX/activeX187.xml><?xml version="1.0" encoding="utf-8"?>
<ax:ocx xmlns:ax="http://schemas.microsoft.com/office/2006/activeX" xmlns:r="http://schemas.openxmlformats.org/officeDocument/2006/relationships" ax:classid="{8BD21D50-EC42-11CE-9E0D-00AA006002F3}" r:id="rId1"/>
</file>

<file path=xl/activeX/activeX188.xml><?xml version="1.0" encoding="utf-8"?>
<ax:ocx xmlns:ax="http://schemas.microsoft.com/office/2006/activeX" xmlns:r="http://schemas.openxmlformats.org/officeDocument/2006/relationships" ax:classid="{8BD21D50-EC42-11CE-9E0D-00AA006002F3}" r:id="rId1"/>
</file>

<file path=xl/activeX/activeX189.xml><?xml version="1.0" encoding="utf-8"?>
<ax:ocx xmlns:ax="http://schemas.microsoft.com/office/2006/activeX" xmlns:r="http://schemas.openxmlformats.org/officeDocument/2006/relationships" ax:classid="{8BD21D50-EC42-11CE-9E0D-00AA006002F3}" r:id="rId1"/>
</file>

<file path=xl/activeX/activeX190.xml><?xml version="1.0" encoding="utf-8"?>
<ax:ocx xmlns:ax="http://schemas.microsoft.com/office/2006/activeX" xmlns:r="http://schemas.openxmlformats.org/officeDocument/2006/relationships" ax:classid="{8BD21D50-EC42-11CE-9E0D-00AA006002F3}" r:id="rId1"/>
</file>

<file path=xl/activeX/activeX191.xml><?xml version="1.0" encoding="utf-8"?>
<ax:ocx xmlns:ax="http://schemas.microsoft.com/office/2006/activeX" xmlns:r="http://schemas.openxmlformats.org/officeDocument/2006/relationships" ax:classid="{8BD21D50-EC42-11CE-9E0D-00AA006002F3}" r:id="rId1"/>
</file>

<file path=xl/activeX/activeX192.xml><?xml version="1.0" encoding="utf-8"?>
<ax:ocx xmlns:ax="http://schemas.microsoft.com/office/2006/activeX" xmlns:r="http://schemas.openxmlformats.org/officeDocument/2006/relationships" ax:classid="{8BD21D50-EC42-11CE-9E0D-00AA006002F3}" r:id="rId1"/>
</file>

<file path=xl/activeX/activeX193.xml><?xml version="1.0" encoding="utf-8"?>
<ax:ocx xmlns:ax="http://schemas.microsoft.com/office/2006/activeX" xmlns:r="http://schemas.openxmlformats.org/officeDocument/2006/relationships" ax:classid="{8BD21D50-EC42-11CE-9E0D-00AA006002F3}" r:id="rId1"/>
</file>

<file path=xl/activeX/activeX194.xml><?xml version="1.0" encoding="utf-8"?>
<ax:ocx xmlns:ax="http://schemas.microsoft.com/office/2006/activeX" xmlns:r="http://schemas.openxmlformats.org/officeDocument/2006/relationships" ax:classid="{8BD21D50-EC42-11CE-9E0D-00AA006002F3}" r:id="rId1"/>
</file>

<file path=xl/activeX/activeX195.xml><?xml version="1.0" encoding="utf-8"?>
<ax:ocx xmlns:ax="http://schemas.microsoft.com/office/2006/activeX" xmlns:r="http://schemas.openxmlformats.org/officeDocument/2006/relationships" ax:classid="{8BD21D50-EC42-11CE-9E0D-00AA006002F3}" r:id="rId1"/>
</file>

<file path=xl/activeX/activeX196.xml><?xml version="1.0" encoding="utf-8"?>
<ax:ocx xmlns:ax="http://schemas.microsoft.com/office/2006/activeX" xmlns:r="http://schemas.openxmlformats.org/officeDocument/2006/relationships" ax:classid="{8BD21D50-EC42-11CE-9E0D-00AA006002F3}" r:id="rId1"/>
</file>

<file path=xl/activeX/activeX197.xml><?xml version="1.0" encoding="utf-8"?>
<ax:ocx xmlns:ax="http://schemas.microsoft.com/office/2006/activeX" xmlns:r="http://schemas.openxmlformats.org/officeDocument/2006/relationships" ax:classid="{8BD21D50-EC42-11CE-9E0D-00AA006002F3}" r:id="rId1"/>
</file>

<file path=xl/activeX/activeX198.xml><?xml version="1.0" encoding="utf-8"?>
<ax:ocx xmlns:ax="http://schemas.microsoft.com/office/2006/activeX" xmlns:r="http://schemas.openxmlformats.org/officeDocument/2006/relationships" ax:classid="{8BD21D50-EC42-11CE-9E0D-00AA006002F3}" r:id="rId1"/>
</file>

<file path=xl/activeX/activeX199.xml><?xml version="1.0" encoding="utf-8"?>
<ax:ocx xmlns:ax="http://schemas.microsoft.com/office/2006/activeX" xmlns:r="http://schemas.openxmlformats.org/officeDocument/2006/relationships" ax:classid="{8BD21D50-EC42-11CE-9E0D-00AA006002F3}" r:id="rId1"/>
</file>

<file path=xl/activeX/activeX200.xml><?xml version="1.0" encoding="utf-8"?>
<ax:ocx xmlns:ax="http://schemas.microsoft.com/office/2006/activeX" xmlns:r="http://schemas.openxmlformats.org/officeDocument/2006/relationships" ax:classid="{8BD21D50-EC42-11CE-9E0D-00AA006002F3}" r:id="rId1"/>
</file>

<file path=xl/activeX/activeX201.xml><?xml version="1.0" encoding="utf-8"?>
<ax:ocx xmlns:ax="http://schemas.microsoft.com/office/2006/activeX" xmlns:r="http://schemas.openxmlformats.org/officeDocument/2006/relationships" ax:classid="{8BD21D50-EC42-11CE-9E0D-00AA006002F3}" r:id="rId1"/>
</file>

<file path=xl/activeX/activeX202.xml><?xml version="1.0" encoding="utf-8"?>
<ax:ocx xmlns:ax="http://schemas.microsoft.com/office/2006/activeX" xmlns:r="http://schemas.openxmlformats.org/officeDocument/2006/relationships" ax:classid="{8BD21D50-EC42-11CE-9E0D-00AA006002F3}" r:id="rId1"/>
</file>

<file path=xl/activeX/activeX203.xml><?xml version="1.0" encoding="utf-8"?>
<ax:ocx xmlns:ax="http://schemas.microsoft.com/office/2006/activeX" xmlns:r="http://schemas.openxmlformats.org/officeDocument/2006/relationships" ax:classid="{8BD21D50-EC42-11CE-9E0D-00AA006002F3}" r:id="rId1"/>
</file>

<file path=xl/activeX/activeX204.xml><?xml version="1.0" encoding="utf-8"?>
<ax:ocx xmlns:ax="http://schemas.microsoft.com/office/2006/activeX" xmlns:r="http://schemas.openxmlformats.org/officeDocument/2006/relationships" ax:classid="{8BD21D50-EC42-11CE-9E0D-00AA006002F3}" r:id="rId1"/>
</file>

<file path=xl/activeX/activeX205.xml><?xml version="1.0" encoding="utf-8"?>
<ax:ocx xmlns:ax="http://schemas.microsoft.com/office/2006/activeX" xmlns:r="http://schemas.openxmlformats.org/officeDocument/2006/relationships" ax:classid="{8BD21D50-EC42-11CE-9E0D-00AA006002F3}" r:id="rId1"/>
</file>

<file path=xl/activeX/activeX206.xml><?xml version="1.0" encoding="utf-8"?>
<ax:ocx xmlns:ax="http://schemas.microsoft.com/office/2006/activeX" xmlns:r="http://schemas.openxmlformats.org/officeDocument/2006/relationships" ax:classid="{8BD21D50-EC42-11CE-9E0D-00AA006002F3}" r:id="rId1"/>
</file>

<file path=xl/activeX/activeX207.xml><?xml version="1.0" encoding="utf-8"?>
<ax:ocx xmlns:ax="http://schemas.microsoft.com/office/2006/activeX" xmlns:r="http://schemas.openxmlformats.org/officeDocument/2006/relationships" ax:classid="{8BD21D50-EC42-11CE-9E0D-00AA006002F3}" r:id="rId1"/>
</file>

<file path=xl/activeX/activeX208.xml><?xml version="1.0" encoding="utf-8"?>
<ax:ocx xmlns:ax="http://schemas.microsoft.com/office/2006/activeX" xmlns:r="http://schemas.openxmlformats.org/officeDocument/2006/relationships" ax:classid="{8BD21D50-EC42-11CE-9E0D-00AA006002F3}" r:id="rId1"/>
</file>

<file path=xl/activeX/activeX209.xml><?xml version="1.0" encoding="utf-8"?>
<ax:ocx xmlns:ax="http://schemas.microsoft.com/office/2006/activeX" xmlns:r="http://schemas.openxmlformats.org/officeDocument/2006/relationships" ax:classid="{8BD21D50-EC42-11CE-9E0D-00AA006002F3}" r:id="rId1"/>
</file>

<file path=xl/activeX/activeX210.xml><?xml version="1.0" encoding="utf-8"?>
<ax:ocx xmlns:ax="http://schemas.microsoft.com/office/2006/activeX" xmlns:r="http://schemas.openxmlformats.org/officeDocument/2006/relationships" ax:classid="{8BD21D50-EC42-11CE-9E0D-00AA006002F3}" r:id="rId1"/>
</file>

<file path=xl/activeX/activeX211.xml><?xml version="1.0" encoding="utf-8"?>
<ax:ocx xmlns:ax="http://schemas.microsoft.com/office/2006/activeX" xmlns:r="http://schemas.openxmlformats.org/officeDocument/2006/relationships" ax:classid="{8BD21D50-EC42-11CE-9E0D-00AA006002F3}" r:id="rId1"/>
</file>

<file path=xl/activeX/activeX212.xml><?xml version="1.0" encoding="utf-8"?>
<ax:ocx xmlns:ax="http://schemas.microsoft.com/office/2006/activeX" xmlns:r="http://schemas.openxmlformats.org/officeDocument/2006/relationships" ax:classid="{8BD21D50-EC42-11CE-9E0D-00AA006002F3}" r:id="rId1"/>
</file>

<file path=xl/activeX/activeX213.xml><?xml version="1.0" encoding="utf-8"?>
<ax:ocx xmlns:ax="http://schemas.microsoft.com/office/2006/activeX" xmlns:r="http://schemas.openxmlformats.org/officeDocument/2006/relationships" ax:classid="{8BD21D50-EC42-11CE-9E0D-00AA006002F3}" r:id="rId1"/>
</file>

<file path=xl/activeX/activeX214.xml><?xml version="1.0" encoding="utf-8"?>
<ax:ocx xmlns:ax="http://schemas.microsoft.com/office/2006/activeX" xmlns:r="http://schemas.openxmlformats.org/officeDocument/2006/relationships" ax:classid="{8BD21D50-EC42-11CE-9E0D-00AA006002F3}" r:id="rId1"/>
</file>

<file path=xl/activeX/activeX215.xml><?xml version="1.0" encoding="utf-8"?>
<ax:ocx xmlns:ax="http://schemas.microsoft.com/office/2006/activeX" xmlns:r="http://schemas.openxmlformats.org/officeDocument/2006/relationships" ax:classid="{8BD21D50-EC42-11CE-9E0D-00AA006002F3}" r:id="rId1"/>
</file>

<file path=xl/activeX/activeX216.xml><?xml version="1.0" encoding="utf-8"?>
<ax:ocx xmlns:ax="http://schemas.microsoft.com/office/2006/activeX" xmlns:r="http://schemas.openxmlformats.org/officeDocument/2006/relationships" ax:classid="{8BD21D50-EC42-11CE-9E0D-00AA006002F3}" r:id="rId1"/>
</file>

<file path=xl/activeX/activeX217.xml><?xml version="1.0" encoding="utf-8"?>
<ax:ocx xmlns:ax="http://schemas.microsoft.com/office/2006/activeX" xmlns:r="http://schemas.openxmlformats.org/officeDocument/2006/relationships" ax:classid="{8BD21D50-EC42-11CE-9E0D-00AA006002F3}" r:id="rId1"/>
</file>

<file path=xl/activeX/activeX218.xml><?xml version="1.0" encoding="utf-8"?>
<ax:ocx xmlns:ax="http://schemas.microsoft.com/office/2006/activeX" xmlns:r="http://schemas.openxmlformats.org/officeDocument/2006/relationships" ax:classid="{8BD21D50-EC42-11CE-9E0D-00AA006002F3}" r:id="rId1"/>
</file>

<file path=xl/activeX/activeX219.xml><?xml version="1.0" encoding="utf-8"?>
<ax:ocx xmlns:ax="http://schemas.microsoft.com/office/2006/activeX" xmlns:r="http://schemas.openxmlformats.org/officeDocument/2006/relationships" ax:classid="{8BD21D50-EC42-11CE-9E0D-00AA006002F3}" r:id="rId1"/>
</file>

<file path=xl/activeX/activeX220.xml><?xml version="1.0" encoding="utf-8"?>
<ax:ocx xmlns:ax="http://schemas.microsoft.com/office/2006/activeX" xmlns:r="http://schemas.openxmlformats.org/officeDocument/2006/relationships" ax:classid="{8BD21D50-EC42-11CE-9E0D-00AA006002F3}" r:id="rId1"/>
</file>

<file path=xl/activeX/activeX221.xml><?xml version="1.0" encoding="utf-8"?>
<ax:ocx xmlns:ax="http://schemas.microsoft.com/office/2006/activeX" xmlns:r="http://schemas.openxmlformats.org/officeDocument/2006/relationships" ax:classid="{8BD21D50-EC42-11CE-9E0D-00AA006002F3}" r:id="rId1"/>
</file>

<file path=xl/activeX/activeX222.xml><?xml version="1.0" encoding="utf-8"?>
<ax:ocx xmlns:ax="http://schemas.microsoft.com/office/2006/activeX" xmlns:r="http://schemas.openxmlformats.org/officeDocument/2006/relationships" ax:classid="{8BD21D50-EC42-11CE-9E0D-00AA006002F3}" r:id="rId1"/>
</file>

<file path=xl/activeX/activeX223.xml><?xml version="1.0" encoding="utf-8"?>
<ax:ocx xmlns:ax="http://schemas.microsoft.com/office/2006/activeX" xmlns:r="http://schemas.openxmlformats.org/officeDocument/2006/relationships" ax:classid="{8BD21D50-EC42-11CE-9E0D-00AA006002F3}" r:id="rId1"/>
</file>

<file path=xl/activeX/activeX224.xml><?xml version="1.0" encoding="utf-8"?>
<ax:ocx xmlns:ax="http://schemas.microsoft.com/office/2006/activeX" xmlns:r="http://schemas.openxmlformats.org/officeDocument/2006/relationships" ax:classid="{8BD21D50-EC42-11CE-9E0D-00AA006002F3}" r:id="rId1"/>
</file>

<file path=xl/activeX/activeX225.xml><?xml version="1.0" encoding="utf-8"?>
<ax:ocx xmlns:ax="http://schemas.microsoft.com/office/2006/activeX" xmlns:r="http://schemas.openxmlformats.org/officeDocument/2006/relationships" ax:classid="{8BD21D50-EC42-11CE-9E0D-00AA006002F3}" r:id="rId1"/>
</file>

<file path=xl/activeX/activeX226.xml><?xml version="1.0" encoding="utf-8"?>
<ax:ocx xmlns:ax="http://schemas.microsoft.com/office/2006/activeX" xmlns:r="http://schemas.openxmlformats.org/officeDocument/2006/relationships" ax:classid="{8BD21D50-EC42-11CE-9E0D-00AA006002F3}" r:id="rId1"/>
</file>

<file path=xl/activeX/activeX227.xml><?xml version="1.0" encoding="utf-8"?>
<ax:ocx xmlns:ax="http://schemas.microsoft.com/office/2006/activeX" xmlns:r="http://schemas.openxmlformats.org/officeDocument/2006/relationships" ax:classid="{8BD21D50-EC42-11CE-9E0D-00AA006002F3}" r:id="rId1"/>
</file>

<file path=xl/activeX/activeX228.xml><?xml version="1.0" encoding="utf-8"?>
<ax:ocx xmlns:ax="http://schemas.microsoft.com/office/2006/activeX" xmlns:r="http://schemas.openxmlformats.org/officeDocument/2006/relationships" ax:classid="{8BD21D50-EC42-11CE-9E0D-00AA006002F3}" r:id="rId1"/>
</file>

<file path=xl/activeX/activeX229.xml><?xml version="1.0" encoding="utf-8"?>
<ax:ocx xmlns:ax="http://schemas.microsoft.com/office/2006/activeX" xmlns:r="http://schemas.openxmlformats.org/officeDocument/2006/relationships" ax:classid="{8BD21D50-EC42-11CE-9E0D-00AA006002F3}" r:id="rId1"/>
</file>

<file path=xl/activeX/activeX230.xml><?xml version="1.0" encoding="utf-8"?>
<ax:ocx xmlns:ax="http://schemas.microsoft.com/office/2006/activeX" xmlns:r="http://schemas.openxmlformats.org/officeDocument/2006/relationships" ax:classid="{8BD21D50-EC42-11CE-9E0D-00AA006002F3}" r:id="rId1"/>
</file>

<file path=xl/activeX/activeX231.xml><?xml version="1.0" encoding="utf-8"?>
<ax:ocx xmlns:ax="http://schemas.microsoft.com/office/2006/activeX" xmlns:r="http://schemas.openxmlformats.org/officeDocument/2006/relationships" ax:classid="{8BD21D50-EC42-11CE-9E0D-00AA006002F3}" r:id="rId1"/>
</file>

<file path=xl/activeX/activeX232.xml><?xml version="1.0" encoding="utf-8"?>
<ax:ocx xmlns:ax="http://schemas.microsoft.com/office/2006/activeX" xmlns:r="http://schemas.openxmlformats.org/officeDocument/2006/relationships" ax:classid="{8BD21D50-EC42-11CE-9E0D-00AA006002F3}" r:id="rId1"/>
</file>

<file path=xl/activeX/activeX233.xml><?xml version="1.0" encoding="utf-8"?>
<ax:ocx xmlns:ax="http://schemas.microsoft.com/office/2006/activeX" xmlns:r="http://schemas.openxmlformats.org/officeDocument/2006/relationships" ax:classid="{8BD21D50-EC42-11CE-9E0D-00AA006002F3}" r:id="rId1"/>
</file>

<file path=xl/activeX/activeX234.xml><?xml version="1.0" encoding="utf-8"?>
<ax:ocx xmlns:ax="http://schemas.microsoft.com/office/2006/activeX" xmlns:r="http://schemas.openxmlformats.org/officeDocument/2006/relationships" ax:classid="{8BD21D50-EC42-11CE-9E0D-00AA006002F3}" r:id="rId1"/>
</file>

<file path=xl/activeX/activeX235.xml><?xml version="1.0" encoding="utf-8"?>
<ax:ocx xmlns:ax="http://schemas.microsoft.com/office/2006/activeX" xmlns:r="http://schemas.openxmlformats.org/officeDocument/2006/relationships" ax:classid="{8BD21D50-EC42-11CE-9E0D-00AA006002F3}" r:id="rId1"/>
</file>

<file path=xl/activeX/activeX236.xml><?xml version="1.0" encoding="utf-8"?>
<ax:ocx xmlns:ax="http://schemas.microsoft.com/office/2006/activeX" xmlns:r="http://schemas.openxmlformats.org/officeDocument/2006/relationships" ax:classid="{8BD21D50-EC42-11CE-9E0D-00AA006002F3}" r:id="rId1"/>
</file>

<file path=xl/activeX/activeX237.xml><?xml version="1.0" encoding="utf-8"?>
<ax:ocx xmlns:ax="http://schemas.microsoft.com/office/2006/activeX" xmlns:r="http://schemas.openxmlformats.org/officeDocument/2006/relationships" ax:classid="{8BD21D50-EC42-11CE-9E0D-00AA006002F3}" r:id="rId1"/>
</file>

<file path=xl/activeX/activeX238.xml><?xml version="1.0" encoding="utf-8"?>
<ax:ocx xmlns:ax="http://schemas.microsoft.com/office/2006/activeX" xmlns:r="http://schemas.openxmlformats.org/officeDocument/2006/relationships" ax:classid="{8BD21D50-EC42-11CE-9E0D-00AA006002F3}" r:id="rId1"/>
</file>

<file path=xl/activeX/activeX239.xml><?xml version="1.0" encoding="utf-8"?>
<ax:ocx xmlns:ax="http://schemas.microsoft.com/office/2006/activeX" xmlns:r="http://schemas.openxmlformats.org/officeDocument/2006/relationships" ax:classid="{8BD21D50-EC42-11CE-9E0D-00AA006002F3}" r:id="rId1"/>
</file>

<file path=xl/activeX/activeX240.xml><?xml version="1.0" encoding="utf-8"?>
<ax:ocx xmlns:ax="http://schemas.microsoft.com/office/2006/activeX" xmlns:r="http://schemas.openxmlformats.org/officeDocument/2006/relationships" ax:classid="{8BD21D50-EC42-11CE-9E0D-00AA006002F3}" r:id="rId1"/>
</file>

<file path=xl/activeX/activeX241.xml><?xml version="1.0" encoding="utf-8"?>
<ax:ocx xmlns:ax="http://schemas.microsoft.com/office/2006/activeX" xmlns:r="http://schemas.openxmlformats.org/officeDocument/2006/relationships" ax:classid="{8BD21D50-EC42-11CE-9E0D-00AA006002F3}" r:id="rId1"/>
</file>

<file path=xl/activeX/activeX242.xml><?xml version="1.0" encoding="utf-8"?>
<ax:ocx xmlns:ax="http://schemas.microsoft.com/office/2006/activeX" xmlns:r="http://schemas.openxmlformats.org/officeDocument/2006/relationships" ax:classid="{8BD21D50-EC42-11CE-9E0D-00AA006002F3}" r:id="rId1"/>
</file>

<file path=xl/activeX/activeX243.xml><?xml version="1.0" encoding="utf-8"?>
<ax:ocx xmlns:ax="http://schemas.microsoft.com/office/2006/activeX" xmlns:r="http://schemas.openxmlformats.org/officeDocument/2006/relationships" ax:classid="{8BD21D50-EC42-11CE-9E0D-00AA006002F3}" r:id="rId1"/>
</file>

<file path=xl/activeX/activeX244.xml><?xml version="1.0" encoding="utf-8"?>
<ax:ocx xmlns:ax="http://schemas.microsoft.com/office/2006/activeX" xmlns:r="http://schemas.openxmlformats.org/officeDocument/2006/relationships" ax:classid="{8BD21D50-EC42-11CE-9E0D-00AA006002F3}" r:id="rId1"/>
</file>

<file path=xl/activeX/activeX245.xml><?xml version="1.0" encoding="utf-8"?>
<ax:ocx xmlns:ax="http://schemas.microsoft.com/office/2006/activeX" xmlns:r="http://schemas.openxmlformats.org/officeDocument/2006/relationships" ax:classid="{8BD21D50-EC42-11CE-9E0D-00AA006002F3}" r:id="rId1"/>
</file>

<file path=xl/activeX/activeX246.xml><?xml version="1.0" encoding="utf-8"?>
<ax:ocx xmlns:ax="http://schemas.microsoft.com/office/2006/activeX" xmlns:r="http://schemas.openxmlformats.org/officeDocument/2006/relationships" ax:classid="{8BD21D50-EC42-11CE-9E0D-00AA006002F3}" r:id="rId1"/>
</file>

<file path=xl/activeX/activeX247.xml><?xml version="1.0" encoding="utf-8"?>
<ax:ocx xmlns:ax="http://schemas.microsoft.com/office/2006/activeX" xmlns:r="http://schemas.openxmlformats.org/officeDocument/2006/relationships" ax:classid="{8BD21D50-EC42-11CE-9E0D-00AA006002F3}" r:id="rId1"/>
</file>

<file path=xl/activeX/activeX248.xml><?xml version="1.0" encoding="utf-8"?>
<ax:ocx xmlns:ax="http://schemas.microsoft.com/office/2006/activeX" xmlns:r="http://schemas.openxmlformats.org/officeDocument/2006/relationships" ax:classid="{8BD21D50-EC42-11CE-9E0D-00AA006002F3}" r:id="rId1"/>
</file>

<file path=xl/activeX/activeX249.xml><?xml version="1.0" encoding="utf-8"?>
<ax:ocx xmlns:ax="http://schemas.microsoft.com/office/2006/activeX" xmlns:r="http://schemas.openxmlformats.org/officeDocument/2006/relationships" ax:classid="{8BD21D50-EC42-11CE-9E0D-00AA006002F3}" r:id="rId1"/>
</file>

<file path=xl/activeX/activeX250.xml><?xml version="1.0" encoding="utf-8"?>
<ax:ocx xmlns:ax="http://schemas.microsoft.com/office/2006/activeX" xmlns:r="http://schemas.openxmlformats.org/officeDocument/2006/relationships" ax:classid="{8BD21D50-EC42-11CE-9E0D-00AA006002F3}" r:id="rId1"/>
</file>

<file path=xl/activeX/activeX251.xml><?xml version="1.0" encoding="utf-8"?>
<ax:ocx xmlns:ax="http://schemas.microsoft.com/office/2006/activeX" xmlns:r="http://schemas.openxmlformats.org/officeDocument/2006/relationships" ax:classid="{8BD21D50-EC42-11CE-9E0D-00AA006002F3}" r:id="rId1"/>
</file>

<file path=xl/activeX/activeX252.xml><?xml version="1.0" encoding="utf-8"?>
<ax:ocx xmlns:ax="http://schemas.microsoft.com/office/2006/activeX" xmlns:r="http://schemas.openxmlformats.org/officeDocument/2006/relationships" ax:classid="{8BD21D50-EC42-11CE-9E0D-00AA006002F3}" r:id="rId1"/>
</file>

<file path=xl/activeX/activeX253.xml><?xml version="1.0" encoding="utf-8"?>
<ax:ocx xmlns:ax="http://schemas.microsoft.com/office/2006/activeX" xmlns:r="http://schemas.openxmlformats.org/officeDocument/2006/relationships" ax:classid="{8BD21D50-EC42-11CE-9E0D-00AA006002F3}" r:id="rId1"/>
</file>

<file path=xl/activeX/activeX254.xml><?xml version="1.0" encoding="utf-8"?>
<ax:ocx xmlns:ax="http://schemas.microsoft.com/office/2006/activeX" xmlns:r="http://schemas.openxmlformats.org/officeDocument/2006/relationships" ax:classid="{8BD21D50-EC42-11CE-9E0D-00AA006002F3}" r:id="rId1"/>
</file>

<file path=xl/activeX/activeX255.xml><?xml version="1.0" encoding="utf-8"?>
<ax:ocx xmlns:ax="http://schemas.microsoft.com/office/2006/activeX" xmlns:r="http://schemas.openxmlformats.org/officeDocument/2006/relationships" ax:classid="{8BD21D50-EC42-11CE-9E0D-00AA006002F3}" r:id="rId1"/>
</file>

<file path=xl/activeX/activeX256.xml><?xml version="1.0" encoding="utf-8"?>
<ax:ocx xmlns:ax="http://schemas.microsoft.com/office/2006/activeX" xmlns:r="http://schemas.openxmlformats.org/officeDocument/2006/relationships" ax:classid="{8BD21D50-EC42-11CE-9E0D-00AA006002F3}" r:id="rId1"/>
</file>

<file path=xl/activeX/activeX257.xml><?xml version="1.0" encoding="utf-8"?>
<ax:ocx xmlns:ax="http://schemas.microsoft.com/office/2006/activeX" xmlns:r="http://schemas.openxmlformats.org/officeDocument/2006/relationships" ax:classid="{8BD21D50-EC42-11CE-9E0D-00AA006002F3}" r:id="rId1"/>
</file>

<file path=xl/activeX/activeX258.xml><?xml version="1.0" encoding="utf-8"?>
<ax:ocx xmlns:ax="http://schemas.microsoft.com/office/2006/activeX" xmlns:r="http://schemas.openxmlformats.org/officeDocument/2006/relationships" ax:classid="{8BD21D50-EC42-11CE-9E0D-00AA006002F3}" r:id="rId1"/>
</file>

<file path=xl/activeX/activeX259.xml><?xml version="1.0" encoding="utf-8"?>
<ax:ocx xmlns:ax="http://schemas.microsoft.com/office/2006/activeX" xmlns:r="http://schemas.openxmlformats.org/officeDocument/2006/relationships" ax:classid="{8BD21D50-EC42-11CE-9E0D-00AA006002F3}" r:id="rId1"/>
</file>

<file path=xl/activeX/activeX260.xml><?xml version="1.0" encoding="utf-8"?>
<ax:ocx xmlns:ax="http://schemas.microsoft.com/office/2006/activeX" xmlns:r="http://schemas.openxmlformats.org/officeDocument/2006/relationships" ax:classid="{8BD21D50-EC42-11CE-9E0D-00AA006002F3}" r:id="rId1"/>
</file>

<file path=xl/activeX/activeX261.xml><?xml version="1.0" encoding="utf-8"?>
<ax:ocx xmlns:ax="http://schemas.microsoft.com/office/2006/activeX" xmlns:r="http://schemas.openxmlformats.org/officeDocument/2006/relationships" ax:classid="{8BD21D50-EC42-11CE-9E0D-00AA006002F3}" r:id="rId1"/>
</file>

<file path=xl/activeX/activeX262.xml><?xml version="1.0" encoding="utf-8"?>
<ax:ocx xmlns:ax="http://schemas.microsoft.com/office/2006/activeX" xmlns:r="http://schemas.openxmlformats.org/officeDocument/2006/relationships" ax:classid="{8BD21D50-EC42-11CE-9E0D-00AA006002F3}" r:id="rId1"/>
</file>

<file path=xl/activeX/activeX263.xml><?xml version="1.0" encoding="utf-8"?>
<ax:ocx xmlns:ax="http://schemas.microsoft.com/office/2006/activeX" xmlns:r="http://schemas.openxmlformats.org/officeDocument/2006/relationships" ax:classid="{8BD21D50-EC42-11CE-9E0D-00AA006002F3}" r:id="rId1"/>
</file>

<file path=xl/activeX/activeX264.xml><?xml version="1.0" encoding="utf-8"?>
<ax:ocx xmlns:ax="http://schemas.microsoft.com/office/2006/activeX" xmlns:r="http://schemas.openxmlformats.org/officeDocument/2006/relationships" ax:classid="{8BD21D50-EC42-11CE-9E0D-00AA006002F3}" r:id="rId1"/>
</file>

<file path=xl/activeX/activeX265.xml><?xml version="1.0" encoding="utf-8"?>
<ax:ocx xmlns:ax="http://schemas.microsoft.com/office/2006/activeX" xmlns:r="http://schemas.openxmlformats.org/officeDocument/2006/relationships" ax:classid="{8BD21D50-EC42-11CE-9E0D-00AA006002F3}" r:id="rId1"/>
</file>

<file path=xl/activeX/activeX266.xml><?xml version="1.0" encoding="utf-8"?>
<ax:ocx xmlns:ax="http://schemas.microsoft.com/office/2006/activeX" xmlns:r="http://schemas.openxmlformats.org/officeDocument/2006/relationships" ax:classid="{8BD21D50-EC42-11CE-9E0D-00AA006002F3}" r:id="rId1"/>
</file>

<file path=xl/activeX/activeX267.xml><?xml version="1.0" encoding="utf-8"?>
<ax:ocx xmlns:ax="http://schemas.microsoft.com/office/2006/activeX" xmlns:r="http://schemas.openxmlformats.org/officeDocument/2006/relationships" ax:classid="{8BD21D50-EC42-11CE-9E0D-00AA006002F3}" r:id="rId1"/>
</file>

<file path=xl/activeX/activeX268.xml><?xml version="1.0" encoding="utf-8"?>
<ax:ocx xmlns:ax="http://schemas.microsoft.com/office/2006/activeX" xmlns:r="http://schemas.openxmlformats.org/officeDocument/2006/relationships" ax:classid="{8BD21D50-EC42-11CE-9E0D-00AA006002F3}" r:id="rId1"/>
</file>

<file path=xl/activeX/activeX269.xml><?xml version="1.0" encoding="utf-8"?>
<ax:ocx xmlns:ax="http://schemas.microsoft.com/office/2006/activeX" xmlns:r="http://schemas.openxmlformats.org/officeDocument/2006/relationships" ax:classid="{8BD21D50-EC42-11CE-9E0D-00AA006002F3}" r:id="rId1"/>
</file>

<file path=xl/activeX/activeX270.xml><?xml version="1.0" encoding="utf-8"?>
<ax:ocx xmlns:ax="http://schemas.microsoft.com/office/2006/activeX" xmlns:r="http://schemas.openxmlformats.org/officeDocument/2006/relationships" ax:classid="{8BD21D50-EC42-11CE-9E0D-00AA006002F3}" r:id="rId1"/>
</file>

<file path=xl/activeX/activeX271.xml><?xml version="1.0" encoding="utf-8"?>
<ax:ocx xmlns:ax="http://schemas.microsoft.com/office/2006/activeX" xmlns:r="http://schemas.openxmlformats.org/officeDocument/2006/relationships" ax:classid="{8BD21D50-EC42-11CE-9E0D-00AA006002F3}" r:id="rId1"/>
</file>

<file path=xl/activeX/activeX272.xml><?xml version="1.0" encoding="utf-8"?>
<ax:ocx xmlns:ax="http://schemas.microsoft.com/office/2006/activeX" xmlns:r="http://schemas.openxmlformats.org/officeDocument/2006/relationships" ax:classid="{8BD21D50-EC42-11CE-9E0D-00AA006002F3}" r:id="rId1"/>
</file>

<file path=xl/activeX/activeX273.xml><?xml version="1.0" encoding="utf-8"?>
<ax:ocx xmlns:ax="http://schemas.microsoft.com/office/2006/activeX" xmlns:r="http://schemas.openxmlformats.org/officeDocument/2006/relationships" ax:classid="{8BD21D50-EC42-11CE-9E0D-00AA006002F3}" r:id="rId1"/>
</file>

<file path=xl/activeX/activeX274.xml><?xml version="1.0" encoding="utf-8"?>
<ax:ocx xmlns:ax="http://schemas.microsoft.com/office/2006/activeX" xmlns:r="http://schemas.openxmlformats.org/officeDocument/2006/relationships" ax:classid="{8BD21D50-EC42-11CE-9E0D-00AA006002F3}" r:id="rId1"/>
</file>

<file path=xl/activeX/activeX275.xml><?xml version="1.0" encoding="utf-8"?>
<ax:ocx xmlns:ax="http://schemas.microsoft.com/office/2006/activeX" xmlns:r="http://schemas.openxmlformats.org/officeDocument/2006/relationships" ax:classid="{8BD21D50-EC42-11CE-9E0D-00AA006002F3}" r:id="rId1"/>
</file>

<file path=xl/activeX/activeX276.xml><?xml version="1.0" encoding="utf-8"?>
<ax:ocx xmlns:ax="http://schemas.microsoft.com/office/2006/activeX" xmlns:r="http://schemas.openxmlformats.org/officeDocument/2006/relationships" ax:classid="{8BD21D50-EC42-11CE-9E0D-00AA006002F3}" r:id="rId1"/>
</file>

<file path=xl/activeX/activeX277.xml><?xml version="1.0" encoding="utf-8"?>
<ax:ocx xmlns:ax="http://schemas.microsoft.com/office/2006/activeX" xmlns:r="http://schemas.openxmlformats.org/officeDocument/2006/relationships" ax:classid="{8BD21D50-EC42-11CE-9E0D-00AA006002F3}" r:id="rId1"/>
</file>

<file path=xl/activeX/activeX278.xml><?xml version="1.0" encoding="utf-8"?>
<ax:ocx xmlns:ax="http://schemas.microsoft.com/office/2006/activeX" xmlns:r="http://schemas.openxmlformats.org/officeDocument/2006/relationships" ax:classid="{8BD21D50-EC42-11CE-9E0D-00AA006002F3}" r:id="rId1"/>
</file>

<file path=xl/activeX/activeX279.xml><?xml version="1.0" encoding="utf-8"?>
<ax:ocx xmlns:ax="http://schemas.microsoft.com/office/2006/activeX" xmlns:r="http://schemas.openxmlformats.org/officeDocument/2006/relationships" ax:classid="{8BD21D50-EC42-11CE-9E0D-00AA006002F3}" r:id="rId1"/>
</file>

<file path=xl/activeX/activeX280.xml><?xml version="1.0" encoding="utf-8"?>
<ax:ocx xmlns:ax="http://schemas.microsoft.com/office/2006/activeX" xmlns:r="http://schemas.openxmlformats.org/officeDocument/2006/relationships" ax:classid="{8BD21D50-EC42-11CE-9E0D-00AA006002F3}" r:id="rId1"/>
</file>

<file path=xl/activeX/activeX281.xml><?xml version="1.0" encoding="utf-8"?>
<ax:ocx xmlns:ax="http://schemas.microsoft.com/office/2006/activeX" xmlns:r="http://schemas.openxmlformats.org/officeDocument/2006/relationships" ax:classid="{8BD21D50-EC42-11CE-9E0D-00AA006002F3}" r:id="rId1"/>
</file>

<file path=xl/activeX/activeX282.xml><?xml version="1.0" encoding="utf-8"?>
<ax:ocx xmlns:ax="http://schemas.microsoft.com/office/2006/activeX" xmlns:r="http://schemas.openxmlformats.org/officeDocument/2006/relationships" ax:classid="{8BD21D50-EC42-11CE-9E0D-00AA006002F3}" r:id="rId1"/>
</file>

<file path=xl/activeX/activeX283.xml><?xml version="1.0" encoding="utf-8"?>
<ax:ocx xmlns:ax="http://schemas.microsoft.com/office/2006/activeX" xmlns:r="http://schemas.openxmlformats.org/officeDocument/2006/relationships" ax:classid="{8BD21D50-EC42-11CE-9E0D-00AA006002F3}" r:id="rId1"/>
</file>

<file path=xl/activeX/activeX284.xml><?xml version="1.0" encoding="utf-8"?>
<ax:ocx xmlns:ax="http://schemas.microsoft.com/office/2006/activeX" xmlns:r="http://schemas.openxmlformats.org/officeDocument/2006/relationships" ax:classid="{8BD21D50-EC42-11CE-9E0D-00AA006002F3}" r:id="rId1"/>
</file>

<file path=xl/activeX/activeX285.xml><?xml version="1.0" encoding="utf-8"?>
<ax:ocx xmlns:ax="http://schemas.microsoft.com/office/2006/activeX" xmlns:r="http://schemas.openxmlformats.org/officeDocument/2006/relationships" ax:classid="{8BD21D50-EC42-11CE-9E0D-00AA006002F3}" r:id="rId1"/>
</file>

<file path=xl/activeX/activeX286.xml><?xml version="1.0" encoding="utf-8"?>
<ax:ocx xmlns:ax="http://schemas.microsoft.com/office/2006/activeX" xmlns:r="http://schemas.openxmlformats.org/officeDocument/2006/relationships" ax:classid="{8BD21D50-EC42-11CE-9E0D-00AA006002F3}" r:id="rId1"/>
</file>

<file path=xl/activeX/activeX287.xml><?xml version="1.0" encoding="utf-8"?>
<ax:ocx xmlns:ax="http://schemas.microsoft.com/office/2006/activeX" xmlns:r="http://schemas.openxmlformats.org/officeDocument/2006/relationships" ax:classid="{8BD21D50-EC42-11CE-9E0D-00AA006002F3}" r:id="rId1"/>
</file>

<file path=xl/activeX/activeX288.xml><?xml version="1.0" encoding="utf-8"?>
<ax:ocx xmlns:ax="http://schemas.microsoft.com/office/2006/activeX" xmlns:r="http://schemas.openxmlformats.org/officeDocument/2006/relationships" ax:classid="{8BD21D50-EC42-11CE-9E0D-00AA006002F3}" r:id="rId1"/>
</file>

<file path=xl/activeX/activeX289.xml><?xml version="1.0" encoding="utf-8"?>
<ax:ocx xmlns:ax="http://schemas.microsoft.com/office/2006/activeX" xmlns:r="http://schemas.openxmlformats.org/officeDocument/2006/relationships" ax:classid="{8BD21D50-EC42-11CE-9E0D-00AA006002F3}" r:id="rId1"/>
</file>

<file path=xl/activeX/activeX290.xml><?xml version="1.0" encoding="utf-8"?>
<ax:ocx xmlns:ax="http://schemas.microsoft.com/office/2006/activeX" xmlns:r="http://schemas.openxmlformats.org/officeDocument/2006/relationships" ax:classid="{8BD21D50-EC42-11CE-9E0D-00AA006002F3}" r:id="rId1"/>
</file>

<file path=xl/activeX/activeX291.xml><?xml version="1.0" encoding="utf-8"?>
<ax:ocx xmlns:ax="http://schemas.microsoft.com/office/2006/activeX" xmlns:r="http://schemas.openxmlformats.org/officeDocument/2006/relationships" ax:classid="{8BD21D50-EC42-11CE-9E0D-00AA006002F3}" r:id="rId1"/>
</file>

<file path=xl/activeX/activeX292.xml><?xml version="1.0" encoding="utf-8"?>
<ax:ocx xmlns:ax="http://schemas.microsoft.com/office/2006/activeX" xmlns:r="http://schemas.openxmlformats.org/officeDocument/2006/relationships" ax:classid="{8BD21D50-EC42-11CE-9E0D-00AA006002F3}" r:id="rId1"/>
</file>

<file path=xl/activeX/activeX293.xml><?xml version="1.0" encoding="utf-8"?>
<ax:ocx xmlns:ax="http://schemas.microsoft.com/office/2006/activeX" xmlns:r="http://schemas.openxmlformats.org/officeDocument/2006/relationships" ax:classid="{8BD21D50-EC42-11CE-9E0D-00AA006002F3}" r:id="rId1"/>
</file>

<file path=xl/activeX/activeX294.xml><?xml version="1.0" encoding="utf-8"?>
<ax:ocx xmlns:ax="http://schemas.microsoft.com/office/2006/activeX" xmlns:r="http://schemas.openxmlformats.org/officeDocument/2006/relationships" ax:classid="{8BD21D50-EC42-11CE-9E0D-00AA006002F3}" r:id="rId1"/>
</file>

<file path=xl/activeX/activeX295.xml><?xml version="1.0" encoding="utf-8"?>
<ax:ocx xmlns:ax="http://schemas.microsoft.com/office/2006/activeX" xmlns:r="http://schemas.openxmlformats.org/officeDocument/2006/relationships" ax:classid="{8BD21D50-EC42-11CE-9E0D-00AA006002F3}" r:id="rId1"/>
</file>

<file path=xl/activeX/activeX296.xml><?xml version="1.0" encoding="utf-8"?>
<ax:ocx xmlns:ax="http://schemas.microsoft.com/office/2006/activeX" xmlns:r="http://schemas.openxmlformats.org/officeDocument/2006/relationships" ax:classid="{8BD21D50-EC42-11CE-9E0D-00AA006002F3}" r:id="rId1"/>
</file>

<file path=xl/activeX/activeX297.xml><?xml version="1.0" encoding="utf-8"?>
<ax:ocx xmlns:ax="http://schemas.microsoft.com/office/2006/activeX" xmlns:r="http://schemas.openxmlformats.org/officeDocument/2006/relationships" ax:classid="{8BD21D50-EC42-11CE-9E0D-00AA006002F3}" r:id="rId1"/>
</file>

<file path=xl/activeX/activeX298.xml><?xml version="1.0" encoding="utf-8"?>
<ax:ocx xmlns:ax="http://schemas.microsoft.com/office/2006/activeX" xmlns:r="http://schemas.openxmlformats.org/officeDocument/2006/relationships" ax:classid="{8BD21D50-EC42-11CE-9E0D-00AA006002F3}" r:id="rId1"/>
</file>

<file path=xl/activeX/activeX299.xml><?xml version="1.0" encoding="utf-8"?>
<ax:ocx xmlns:ax="http://schemas.microsoft.com/office/2006/activeX" xmlns:r="http://schemas.openxmlformats.org/officeDocument/2006/relationships" ax:classid="{8BD21D50-EC42-11CE-9E0D-00AA006002F3}" r:id="rId1"/>
</file>

<file path=xl/activeX/activeX300.xml><?xml version="1.0" encoding="utf-8"?>
<ax:ocx xmlns:ax="http://schemas.microsoft.com/office/2006/activeX" xmlns:r="http://schemas.openxmlformats.org/officeDocument/2006/relationships" ax:classid="{8BD21D50-EC42-11CE-9E0D-00AA006002F3}" r:id="rId1"/>
</file>

<file path=xl/activeX/activeX301.xml><?xml version="1.0" encoding="utf-8"?>
<ax:ocx xmlns:ax="http://schemas.microsoft.com/office/2006/activeX" xmlns:r="http://schemas.openxmlformats.org/officeDocument/2006/relationships" ax:classid="{8BD21D50-EC42-11CE-9E0D-00AA006002F3}" r:id="rId1"/>
</file>

<file path=xl/activeX/activeX302.xml><?xml version="1.0" encoding="utf-8"?>
<ax:ocx xmlns:ax="http://schemas.microsoft.com/office/2006/activeX" xmlns:r="http://schemas.openxmlformats.org/officeDocument/2006/relationships" ax:classid="{8BD21D50-EC42-11CE-9E0D-00AA006002F3}" r:id="rId1"/>
</file>

<file path=xl/activeX/activeX303.xml><?xml version="1.0" encoding="utf-8"?>
<ax:ocx xmlns:ax="http://schemas.microsoft.com/office/2006/activeX" xmlns:r="http://schemas.openxmlformats.org/officeDocument/2006/relationships" ax:classid="{8BD21D50-EC42-11CE-9E0D-00AA006002F3}" r:id="rId1"/>
</file>

<file path=xl/activeX/activeX304.xml><?xml version="1.0" encoding="utf-8"?>
<ax:ocx xmlns:ax="http://schemas.microsoft.com/office/2006/activeX" xmlns:r="http://schemas.openxmlformats.org/officeDocument/2006/relationships" ax:classid="{8BD21D50-EC42-11CE-9E0D-00AA006002F3}" r:id="rId1"/>
</file>

<file path=xl/activeX/activeX305.xml><?xml version="1.0" encoding="utf-8"?>
<ax:ocx xmlns:ax="http://schemas.microsoft.com/office/2006/activeX" xmlns:r="http://schemas.openxmlformats.org/officeDocument/2006/relationships" ax:classid="{8BD21D50-EC42-11CE-9E0D-00AA006002F3}" r:id="rId1"/>
</file>

<file path=xl/activeX/activeX306.xml><?xml version="1.0" encoding="utf-8"?>
<ax:ocx xmlns:ax="http://schemas.microsoft.com/office/2006/activeX" xmlns:r="http://schemas.openxmlformats.org/officeDocument/2006/relationships" ax:classid="{8BD21D50-EC42-11CE-9E0D-00AA006002F3}" r:id="rId1"/>
</file>

<file path=xl/activeX/activeX307.xml><?xml version="1.0" encoding="utf-8"?>
<ax:ocx xmlns:ax="http://schemas.microsoft.com/office/2006/activeX" xmlns:r="http://schemas.openxmlformats.org/officeDocument/2006/relationships" ax:classid="{8BD21D50-EC42-11CE-9E0D-00AA006002F3}" r:id="rId1"/>
</file>

<file path=xl/activeX/activeX308.xml><?xml version="1.0" encoding="utf-8"?>
<ax:ocx xmlns:ax="http://schemas.microsoft.com/office/2006/activeX" xmlns:r="http://schemas.openxmlformats.org/officeDocument/2006/relationships" ax:classid="{8BD21D50-EC42-11CE-9E0D-00AA006002F3}" r:id="rId1"/>
</file>

<file path=xl/activeX/activeX309.xml><?xml version="1.0" encoding="utf-8"?>
<ax:ocx xmlns:ax="http://schemas.microsoft.com/office/2006/activeX" xmlns:r="http://schemas.openxmlformats.org/officeDocument/2006/relationships" ax:classid="{8BD21D50-EC42-11CE-9E0D-00AA006002F3}" r:id="rId1"/>
</file>

<file path=xl/activeX/activeX310.xml><?xml version="1.0" encoding="utf-8"?>
<ax:ocx xmlns:ax="http://schemas.microsoft.com/office/2006/activeX" xmlns:r="http://schemas.openxmlformats.org/officeDocument/2006/relationships" ax:classid="{8BD21D50-EC42-11CE-9E0D-00AA006002F3}" r:id="rId1"/>
</file>

<file path=xl/activeX/activeX311.xml><?xml version="1.0" encoding="utf-8"?>
<ax:ocx xmlns:ax="http://schemas.microsoft.com/office/2006/activeX" xmlns:r="http://schemas.openxmlformats.org/officeDocument/2006/relationships" ax:classid="{8BD21D50-EC42-11CE-9E0D-00AA006002F3}" r:id="rId1"/>
</file>

<file path=xl/activeX/activeX312.xml><?xml version="1.0" encoding="utf-8"?>
<ax:ocx xmlns:ax="http://schemas.microsoft.com/office/2006/activeX" xmlns:r="http://schemas.openxmlformats.org/officeDocument/2006/relationships" ax:classid="{8BD21D50-EC42-11CE-9E0D-00AA006002F3}" r:id="rId1"/>
</file>

<file path=xl/activeX/activeX313.xml><?xml version="1.0" encoding="utf-8"?>
<ax:ocx xmlns:ax="http://schemas.microsoft.com/office/2006/activeX" xmlns:r="http://schemas.openxmlformats.org/officeDocument/2006/relationships" ax:classid="{8BD21D50-EC42-11CE-9E0D-00AA006002F3}" r:id="rId1"/>
</file>

<file path=xl/activeX/activeX314.xml><?xml version="1.0" encoding="utf-8"?>
<ax:ocx xmlns:ax="http://schemas.microsoft.com/office/2006/activeX" xmlns:r="http://schemas.openxmlformats.org/officeDocument/2006/relationships" ax:classid="{8BD21D50-EC42-11CE-9E0D-00AA006002F3}" r:id="rId1"/>
</file>

<file path=xl/activeX/activeX315.xml><?xml version="1.0" encoding="utf-8"?>
<ax:ocx xmlns:ax="http://schemas.microsoft.com/office/2006/activeX" xmlns:r="http://schemas.openxmlformats.org/officeDocument/2006/relationships" ax:classid="{8BD21D50-EC42-11CE-9E0D-00AA006002F3}" r:id="rId1"/>
</file>

<file path=xl/activeX/activeX316.xml><?xml version="1.0" encoding="utf-8"?>
<ax:ocx xmlns:ax="http://schemas.microsoft.com/office/2006/activeX" xmlns:r="http://schemas.openxmlformats.org/officeDocument/2006/relationships" ax:classid="{8BD21D50-EC42-11CE-9E0D-00AA006002F3}" r:id="rId1"/>
</file>

<file path=xl/activeX/activeX317.xml><?xml version="1.0" encoding="utf-8"?>
<ax:ocx xmlns:ax="http://schemas.microsoft.com/office/2006/activeX" xmlns:r="http://schemas.openxmlformats.org/officeDocument/2006/relationships" ax:classid="{8BD21D50-EC42-11CE-9E0D-00AA006002F3}" r:id="rId1"/>
</file>

<file path=xl/activeX/activeX318.xml><?xml version="1.0" encoding="utf-8"?>
<ax:ocx xmlns:ax="http://schemas.microsoft.com/office/2006/activeX" xmlns:r="http://schemas.openxmlformats.org/officeDocument/2006/relationships" ax:classid="{8BD21D50-EC42-11CE-9E0D-00AA006002F3}" r:id="rId1"/>
</file>

<file path=xl/activeX/activeX319.xml><?xml version="1.0" encoding="utf-8"?>
<ax:ocx xmlns:ax="http://schemas.microsoft.com/office/2006/activeX" xmlns:r="http://schemas.openxmlformats.org/officeDocument/2006/relationships" ax:classid="{8BD21D50-EC42-11CE-9E0D-00AA006002F3}" r:id="rId1"/>
</file>

<file path=xl/activeX/activeX320.xml><?xml version="1.0" encoding="utf-8"?>
<ax:ocx xmlns:ax="http://schemas.microsoft.com/office/2006/activeX" xmlns:r="http://schemas.openxmlformats.org/officeDocument/2006/relationships" ax:classid="{8BD21D50-EC42-11CE-9E0D-00AA006002F3}" r:id="rId1"/>
</file>

<file path=xl/activeX/activeX321.xml><?xml version="1.0" encoding="utf-8"?>
<ax:ocx xmlns:ax="http://schemas.microsoft.com/office/2006/activeX" xmlns:r="http://schemas.openxmlformats.org/officeDocument/2006/relationships" ax:classid="{8BD21D50-EC42-11CE-9E0D-00AA006002F3}" r:id="rId1"/>
</file>

<file path=xl/activeX/activeX322.xml><?xml version="1.0" encoding="utf-8"?>
<ax:ocx xmlns:ax="http://schemas.microsoft.com/office/2006/activeX" xmlns:r="http://schemas.openxmlformats.org/officeDocument/2006/relationships" ax:classid="{8BD21D50-EC42-11CE-9E0D-00AA006002F3}" r:id="rId1"/>
</file>

<file path=xl/activeX/activeX323.xml><?xml version="1.0" encoding="utf-8"?>
<ax:ocx xmlns:ax="http://schemas.microsoft.com/office/2006/activeX" xmlns:r="http://schemas.openxmlformats.org/officeDocument/2006/relationships" ax:classid="{8BD21D50-EC42-11CE-9E0D-00AA006002F3}" r:id="rId1"/>
</file>

<file path=xl/activeX/activeX324.xml><?xml version="1.0" encoding="utf-8"?>
<ax:ocx xmlns:ax="http://schemas.microsoft.com/office/2006/activeX" xmlns:r="http://schemas.openxmlformats.org/officeDocument/2006/relationships" ax:classid="{8BD21D50-EC42-11CE-9E0D-00AA006002F3}" r:id="rId1"/>
</file>

<file path=xl/activeX/activeX325.xml><?xml version="1.0" encoding="utf-8"?>
<ax:ocx xmlns:ax="http://schemas.microsoft.com/office/2006/activeX" xmlns:r="http://schemas.openxmlformats.org/officeDocument/2006/relationships" ax:classid="{8BD21D50-EC42-11CE-9E0D-00AA006002F3}" r:id="rId1"/>
</file>

<file path=xl/activeX/activeX326.xml><?xml version="1.0" encoding="utf-8"?>
<ax:ocx xmlns:ax="http://schemas.microsoft.com/office/2006/activeX" xmlns:r="http://schemas.openxmlformats.org/officeDocument/2006/relationships" ax:classid="{8BD21D50-EC42-11CE-9E0D-00AA006002F3}" r:id="rId1"/>
</file>

<file path=xl/activeX/activeX327.xml><?xml version="1.0" encoding="utf-8"?>
<ax:ocx xmlns:ax="http://schemas.microsoft.com/office/2006/activeX" xmlns:r="http://schemas.openxmlformats.org/officeDocument/2006/relationships" ax:classid="{8BD21D50-EC42-11CE-9E0D-00AA006002F3}" r:id="rId1"/>
</file>

<file path=xl/activeX/activeX328.xml><?xml version="1.0" encoding="utf-8"?>
<ax:ocx xmlns:ax="http://schemas.microsoft.com/office/2006/activeX" xmlns:r="http://schemas.openxmlformats.org/officeDocument/2006/relationships" ax:classid="{8BD21D50-EC42-11CE-9E0D-00AA006002F3}" r:id="rId1"/>
</file>

<file path=xl/activeX/activeX329.xml><?xml version="1.0" encoding="utf-8"?>
<ax:ocx xmlns:ax="http://schemas.microsoft.com/office/2006/activeX" xmlns:r="http://schemas.openxmlformats.org/officeDocument/2006/relationships" ax:classid="{8BD21D50-EC42-11CE-9E0D-00AA006002F3}" r:id="rId1"/>
</file>

<file path=xl/activeX/activeX330.xml><?xml version="1.0" encoding="utf-8"?>
<ax:ocx xmlns:ax="http://schemas.microsoft.com/office/2006/activeX" xmlns:r="http://schemas.openxmlformats.org/officeDocument/2006/relationships" ax:classid="{8BD21D50-EC42-11CE-9E0D-00AA006002F3}" r:id="rId1"/>
</file>

<file path=xl/activeX/activeX331.xml><?xml version="1.0" encoding="utf-8"?>
<ax:ocx xmlns:ax="http://schemas.microsoft.com/office/2006/activeX" xmlns:r="http://schemas.openxmlformats.org/officeDocument/2006/relationships" ax:classid="{8BD21D50-EC42-11CE-9E0D-00AA006002F3}" r:id="rId1"/>
</file>

<file path=xl/activeX/activeX332.xml><?xml version="1.0" encoding="utf-8"?>
<ax:ocx xmlns:ax="http://schemas.microsoft.com/office/2006/activeX" xmlns:r="http://schemas.openxmlformats.org/officeDocument/2006/relationships" ax:classid="{8BD21D50-EC42-11CE-9E0D-00AA006002F3}" r:id="rId1"/>
</file>

<file path=xl/activeX/activeX333.xml><?xml version="1.0" encoding="utf-8"?>
<ax:ocx xmlns:ax="http://schemas.microsoft.com/office/2006/activeX" xmlns:r="http://schemas.openxmlformats.org/officeDocument/2006/relationships" ax:classid="{8BD21D50-EC42-11CE-9E0D-00AA006002F3}" r:id="rId1"/>
</file>

<file path=xl/activeX/activeX334.xml><?xml version="1.0" encoding="utf-8"?>
<ax:ocx xmlns:ax="http://schemas.microsoft.com/office/2006/activeX" xmlns:r="http://schemas.openxmlformats.org/officeDocument/2006/relationships" ax:classid="{8BD21D50-EC42-11CE-9E0D-00AA006002F3}" r:id="rId1"/>
</file>

<file path=xl/activeX/activeX335.xml><?xml version="1.0" encoding="utf-8"?>
<ax:ocx xmlns:ax="http://schemas.microsoft.com/office/2006/activeX" xmlns:r="http://schemas.openxmlformats.org/officeDocument/2006/relationships" ax:classid="{8BD21D50-EC42-11CE-9E0D-00AA006002F3}" r:id="rId1"/>
</file>

<file path=xl/activeX/activeX336.xml><?xml version="1.0" encoding="utf-8"?>
<ax:ocx xmlns:ax="http://schemas.microsoft.com/office/2006/activeX" xmlns:r="http://schemas.openxmlformats.org/officeDocument/2006/relationships" ax:classid="{8BD21D50-EC42-11CE-9E0D-00AA006002F3}" r:id="rId1"/>
</file>

<file path=xl/activeX/activeX337.xml><?xml version="1.0" encoding="utf-8"?>
<ax:ocx xmlns:ax="http://schemas.microsoft.com/office/2006/activeX" xmlns:r="http://schemas.openxmlformats.org/officeDocument/2006/relationships" ax:classid="{8BD21D50-EC42-11CE-9E0D-00AA006002F3}" r:id="rId1"/>
</file>

<file path=xl/activeX/activeX338.xml><?xml version="1.0" encoding="utf-8"?>
<ax:ocx xmlns:ax="http://schemas.microsoft.com/office/2006/activeX" xmlns:r="http://schemas.openxmlformats.org/officeDocument/2006/relationships" ax:classid="{8BD21D50-EC42-11CE-9E0D-00AA006002F3}" r:id="rId1"/>
</file>

<file path=xl/activeX/activeX339.xml><?xml version="1.0" encoding="utf-8"?>
<ax:ocx xmlns:ax="http://schemas.microsoft.com/office/2006/activeX" xmlns:r="http://schemas.openxmlformats.org/officeDocument/2006/relationships" ax:classid="{8BD21D50-EC42-11CE-9E0D-00AA006002F3}" r:id="rId1"/>
</file>

<file path=xl/activeX/activeX340.xml><?xml version="1.0" encoding="utf-8"?>
<ax:ocx xmlns:ax="http://schemas.microsoft.com/office/2006/activeX" xmlns:r="http://schemas.openxmlformats.org/officeDocument/2006/relationships" ax:classid="{8BD21D50-EC42-11CE-9E0D-00AA006002F3}" r:id="rId1"/>
</file>

<file path=xl/activeX/activeX341.xml><?xml version="1.0" encoding="utf-8"?>
<ax:ocx xmlns:ax="http://schemas.microsoft.com/office/2006/activeX" xmlns:r="http://schemas.openxmlformats.org/officeDocument/2006/relationships" ax:classid="{8BD21D50-EC42-11CE-9E0D-00AA006002F3}" r:id="rId1"/>
</file>

<file path=xl/activeX/activeX342.xml><?xml version="1.0" encoding="utf-8"?>
<ax:ocx xmlns:ax="http://schemas.microsoft.com/office/2006/activeX" xmlns:r="http://schemas.openxmlformats.org/officeDocument/2006/relationships" ax:classid="{8BD21D50-EC42-11CE-9E0D-00AA006002F3}" r:id="rId1"/>
</file>

<file path=xl/activeX/activeX343.xml><?xml version="1.0" encoding="utf-8"?>
<ax:ocx xmlns:ax="http://schemas.microsoft.com/office/2006/activeX" xmlns:r="http://schemas.openxmlformats.org/officeDocument/2006/relationships" ax:classid="{8BD21D50-EC42-11CE-9E0D-00AA006002F3}"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1.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1.emf"/><Relationship Id="rId4"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5.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5.emf"/></Relationships>
</file>

<file path=xl/drawings/_rels/vmlDrawing8.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25.emf"/><Relationship Id="rId26" Type="http://schemas.openxmlformats.org/officeDocument/2006/relationships/image" Target="../media/image33.emf"/><Relationship Id="rId39" Type="http://schemas.openxmlformats.org/officeDocument/2006/relationships/image" Target="../media/image46.emf"/><Relationship Id="rId21" Type="http://schemas.openxmlformats.org/officeDocument/2006/relationships/image" Target="../media/image28.emf"/><Relationship Id="rId34" Type="http://schemas.openxmlformats.org/officeDocument/2006/relationships/image" Target="../media/image41.emf"/><Relationship Id="rId42" Type="http://schemas.openxmlformats.org/officeDocument/2006/relationships/image" Target="../media/image49.emf"/><Relationship Id="rId47" Type="http://schemas.openxmlformats.org/officeDocument/2006/relationships/image" Target="../media/image54.emf"/><Relationship Id="rId50" Type="http://schemas.openxmlformats.org/officeDocument/2006/relationships/image" Target="../media/image57.emf"/><Relationship Id="rId55" Type="http://schemas.openxmlformats.org/officeDocument/2006/relationships/image" Target="../media/image62.emf"/><Relationship Id="rId7" Type="http://schemas.openxmlformats.org/officeDocument/2006/relationships/image" Target="../media/image14.emf"/><Relationship Id="rId2" Type="http://schemas.openxmlformats.org/officeDocument/2006/relationships/image" Target="../media/image9.emf"/><Relationship Id="rId16" Type="http://schemas.openxmlformats.org/officeDocument/2006/relationships/image" Target="../media/image23.emf"/><Relationship Id="rId29" Type="http://schemas.openxmlformats.org/officeDocument/2006/relationships/image" Target="../media/image36.emf"/><Relationship Id="rId11" Type="http://schemas.openxmlformats.org/officeDocument/2006/relationships/image" Target="../media/image18.emf"/><Relationship Id="rId24" Type="http://schemas.openxmlformats.org/officeDocument/2006/relationships/image" Target="../media/image31.emf"/><Relationship Id="rId32" Type="http://schemas.openxmlformats.org/officeDocument/2006/relationships/image" Target="../media/image39.emf"/><Relationship Id="rId37" Type="http://schemas.openxmlformats.org/officeDocument/2006/relationships/image" Target="../media/image44.emf"/><Relationship Id="rId40" Type="http://schemas.openxmlformats.org/officeDocument/2006/relationships/image" Target="../media/image47.emf"/><Relationship Id="rId45" Type="http://schemas.openxmlformats.org/officeDocument/2006/relationships/image" Target="../media/image52.emf"/><Relationship Id="rId53" Type="http://schemas.openxmlformats.org/officeDocument/2006/relationships/image" Target="../media/image60.emf"/><Relationship Id="rId58" Type="http://schemas.openxmlformats.org/officeDocument/2006/relationships/image" Target="../media/image65.emf"/><Relationship Id="rId5" Type="http://schemas.openxmlformats.org/officeDocument/2006/relationships/image" Target="../media/image12.emf"/><Relationship Id="rId19" Type="http://schemas.openxmlformats.org/officeDocument/2006/relationships/image" Target="../media/image26.emf"/><Relationship Id="rId4" Type="http://schemas.openxmlformats.org/officeDocument/2006/relationships/image" Target="../media/image11.emf"/><Relationship Id="rId9" Type="http://schemas.openxmlformats.org/officeDocument/2006/relationships/image" Target="../media/image16.emf"/><Relationship Id="rId14" Type="http://schemas.openxmlformats.org/officeDocument/2006/relationships/image" Target="../media/image21.emf"/><Relationship Id="rId22" Type="http://schemas.openxmlformats.org/officeDocument/2006/relationships/image" Target="../media/image29.emf"/><Relationship Id="rId27" Type="http://schemas.openxmlformats.org/officeDocument/2006/relationships/image" Target="../media/image34.emf"/><Relationship Id="rId30" Type="http://schemas.openxmlformats.org/officeDocument/2006/relationships/image" Target="../media/image37.emf"/><Relationship Id="rId35" Type="http://schemas.openxmlformats.org/officeDocument/2006/relationships/image" Target="../media/image42.emf"/><Relationship Id="rId43" Type="http://schemas.openxmlformats.org/officeDocument/2006/relationships/image" Target="../media/image50.emf"/><Relationship Id="rId48" Type="http://schemas.openxmlformats.org/officeDocument/2006/relationships/image" Target="../media/image55.emf"/><Relationship Id="rId56" Type="http://schemas.openxmlformats.org/officeDocument/2006/relationships/image" Target="../media/image63.emf"/><Relationship Id="rId8" Type="http://schemas.openxmlformats.org/officeDocument/2006/relationships/image" Target="../media/image15.emf"/><Relationship Id="rId51" Type="http://schemas.openxmlformats.org/officeDocument/2006/relationships/image" Target="../media/image58.emf"/><Relationship Id="rId3" Type="http://schemas.openxmlformats.org/officeDocument/2006/relationships/image" Target="../media/image10.emf"/><Relationship Id="rId12" Type="http://schemas.openxmlformats.org/officeDocument/2006/relationships/image" Target="../media/image19.emf"/><Relationship Id="rId17" Type="http://schemas.openxmlformats.org/officeDocument/2006/relationships/image" Target="../media/image24.emf"/><Relationship Id="rId25" Type="http://schemas.openxmlformats.org/officeDocument/2006/relationships/image" Target="../media/image32.emf"/><Relationship Id="rId33" Type="http://schemas.openxmlformats.org/officeDocument/2006/relationships/image" Target="../media/image40.emf"/><Relationship Id="rId38" Type="http://schemas.openxmlformats.org/officeDocument/2006/relationships/image" Target="../media/image45.emf"/><Relationship Id="rId46" Type="http://schemas.openxmlformats.org/officeDocument/2006/relationships/image" Target="../media/image53.emf"/><Relationship Id="rId59" Type="http://schemas.openxmlformats.org/officeDocument/2006/relationships/image" Target="../media/image66.emf"/><Relationship Id="rId20" Type="http://schemas.openxmlformats.org/officeDocument/2006/relationships/image" Target="../media/image27.emf"/><Relationship Id="rId41" Type="http://schemas.openxmlformats.org/officeDocument/2006/relationships/image" Target="../media/image48.emf"/><Relationship Id="rId54" Type="http://schemas.openxmlformats.org/officeDocument/2006/relationships/image" Target="../media/image61.emf"/><Relationship Id="rId1" Type="http://schemas.openxmlformats.org/officeDocument/2006/relationships/image" Target="../media/image8.emf"/><Relationship Id="rId6"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30.emf"/><Relationship Id="rId28" Type="http://schemas.openxmlformats.org/officeDocument/2006/relationships/image" Target="../media/image35.emf"/><Relationship Id="rId36" Type="http://schemas.openxmlformats.org/officeDocument/2006/relationships/image" Target="../media/image43.emf"/><Relationship Id="rId49" Type="http://schemas.openxmlformats.org/officeDocument/2006/relationships/image" Target="../media/image56.emf"/><Relationship Id="rId57" Type="http://schemas.openxmlformats.org/officeDocument/2006/relationships/image" Target="../media/image64.emf"/><Relationship Id="rId10" Type="http://schemas.openxmlformats.org/officeDocument/2006/relationships/image" Target="../media/image17.emf"/><Relationship Id="rId31" Type="http://schemas.openxmlformats.org/officeDocument/2006/relationships/image" Target="../media/image38.emf"/><Relationship Id="rId44" Type="http://schemas.openxmlformats.org/officeDocument/2006/relationships/image" Target="../media/image51.emf"/><Relationship Id="rId52" Type="http://schemas.openxmlformats.org/officeDocument/2006/relationships/image" Target="../media/image59.emf"/><Relationship Id="rId60"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xdr:twoCellAnchor>
    <xdr:from>
      <xdr:col>2</xdr:col>
      <xdr:colOff>38100</xdr:colOff>
      <xdr:row>376</xdr:row>
      <xdr:rowOff>129540</xdr:rowOff>
    </xdr:from>
    <xdr:to>
      <xdr:col>2</xdr:col>
      <xdr:colOff>838200</xdr:colOff>
      <xdr:row>379</xdr:row>
      <xdr:rowOff>83820</xdr:rowOff>
    </xdr:to>
    <xdr:sp macro="" textlink="">
      <xdr:nvSpPr>
        <xdr:cNvPr id="22" name="Oval 21"/>
        <xdr:cNvSpPr/>
      </xdr:nvSpPr>
      <xdr:spPr>
        <a:xfrm>
          <a:off x="2415540" y="98808540"/>
          <a:ext cx="800100" cy="411480"/>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id-ID" sz="1100"/>
        </a:p>
      </xdr:txBody>
    </xdr:sp>
    <xdr:clientData/>
  </xdr:twoCellAnchor>
  <mc:AlternateContent xmlns:mc="http://schemas.openxmlformats.org/markup-compatibility/2006">
    <mc:Choice xmlns:a14="http://schemas.microsoft.com/office/drawing/2010/main" Requires="a14">
      <xdr:twoCellAnchor editAs="oneCell">
        <xdr:from>
          <xdr:col>2</xdr:col>
          <xdr:colOff>381000</xdr:colOff>
          <xdr:row>9</xdr:row>
          <xdr:rowOff>57150</xdr:rowOff>
        </xdr:from>
        <xdr:to>
          <xdr:col>2</xdr:col>
          <xdr:colOff>546100</xdr:colOff>
          <xdr:row>9</xdr:row>
          <xdr:rowOff>241300</xdr:rowOff>
        </xdr:to>
        <xdr:sp macro="" textlink="">
          <xdr:nvSpPr>
            <xdr:cNvPr id="9221" name="Opt1_1_2" hidden="1">
              <a:extLst>
                <a:ext uri="{63B3BB69-23CF-44E3-9099-C40C66FF867C}">
                  <a14:compatExt spid="_x0000_s92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8</xdr:row>
          <xdr:rowOff>19050</xdr:rowOff>
        </xdr:from>
        <xdr:to>
          <xdr:col>2</xdr:col>
          <xdr:colOff>546100</xdr:colOff>
          <xdr:row>8</xdr:row>
          <xdr:rowOff>203200</xdr:rowOff>
        </xdr:to>
        <xdr:sp macro="" textlink="">
          <xdr:nvSpPr>
            <xdr:cNvPr id="9222" name="Opt1_1_1" hidden="1">
              <a:extLst>
                <a:ext uri="{63B3BB69-23CF-44E3-9099-C40C66FF867C}">
                  <a14:compatExt spid="_x0000_s92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393700</xdr:colOff>
          <xdr:row>10</xdr:row>
          <xdr:rowOff>279400</xdr:rowOff>
        </xdr:from>
        <xdr:to>
          <xdr:col>2</xdr:col>
          <xdr:colOff>558800</xdr:colOff>
          <xdr:row>10</xdr:row>
          <xdr:rowOff>463550</xdr:rowOff>
        </xdr:to>
        <xdr:sp macro="" textlink="">
          <xdr:nvSpPr>
            <xdr:cNvPr id="9224" name="Opt1_1_3" hidden="1">
              <a:extLst>
                <a:ext uri="{63B3BB69-23CF-44E3-9099-C40C66FF867C}">
                  <a14:compatExt spid="_x0000_s92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12</xdr:row>
          <xdr:rowOff>393700</xdr:rowOff>
        </xdr:from>
        <xdr:to>
          <xdr:col>2</xdr:col>
          <xdr:colOff>546100</xdr:colOff>
          <xdr:row>12</xdr:row>
          <xdr:rowOff>577850</xdr:rowOff>
        </xdr:to>
        <xdr:sp macro="" textlink="">
          <xdr:nvSpPr>
            <xdr:cNvPr id="9225" name="Opt1_1_4" hidden="1">
              <a:extLst>
                <a:ext uri="{63B3BB69-23CF-44E3-9099-C40C66FF867C}">
                  <a14:compatExt spid="_x0000_s92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15</xdr:row>
          <xdr:rowOff>298450</xdr:rowOff>
        </xdr:from>
        <xdr:to>
          <xdr:col>2</xdr:col>
          <xdr:colOff>565150</xdr:colOff>
          <xdr:row>15</xdr:row>
          <xdr:rowOff>482600</xdr:rowOff>
        </xdr:to>
        <xdr:sp macro="" textlink="">
          <xdr:nvSpPr>
            <xdr:cNvPr id="9226" name="Opt1_1_5" hidden="1">
              <a:extLst>
                <a:ext uri="{63B3BB69-23CF-44E3-9099-C40C66FF867C}">
                  <a14:compatExt spid="_x0000_s92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20</xdr:row>
          <xdr:rowOff>114300</xdr:rowOff>
        </xdr:from>
        <xdr:to>
          <xdr:col>2</xdr:col>
          <xdr:colOff>539750</xdr:colOff>
          <xdr:row>20</xdr:row>
          <xdr:rowOff>298450</xdr:rowOff>
        </xdr:to>
        <xdr:sp macro="" textlink="">
          <xdr:nvSpPr>
            <xdr:cNvPr id="9227" name="Opt1_2_1" hidden="1">
              <a:extLst>
                <a:ext uri="{63B3BB69-23CF-44E3-9099-C40C66FF867C}">
                  <a14:compatExt spid="_x0000_s92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21</xdr:row>
          <xdr:rowOff>152400</xdr:rowOff>
        </xdr:from>
        <xdr:to>
          <xdr:col>2</xdr:col>
          <xdr:colOff>546100</xdr:colOff>
          <xdr:row>21</xdr:row>
          <xdr:rowOff>336550</xdr:rowOff>
        </xdr:to>
        <xdr:sp macro="" textlink="">
          <xdr:nvSpPr>
            <xdr:cNvPr id="9228" name="Opt1_2_2" hidden="1">
              <a:extLst>
                <a:ext uri="{63B3BB69-23CF-44E3-9099-C40C66FF867C}">
                  <a14:compatExt spid="_x0000_s92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23</xdr:row>
          <xdr:rowOff>127000</xdr:rowOff>
        </xdr:from>
        <xdr:to>
          <xdr:col>2</xdr:col>
          <xdr:colOff>539750</xdr:colOff>
          <xdr:row>23</xdr:row>
          <xdr:rowOff>311150</xdr:rowOff>
        </xdr:to>
        <xdr:sp macro="" textlink="">
          <xdr:nvSpPr>
            <xdr:cNvPr id="9229" name="Opt1_2_3" hidden="1">
              <a:extLst>
                <a:ext uri="{63B3BB69-23CF-44E3-9099-C40C66FF867C}">
                  <a14:compatExt spid="_x0000_s92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26</xdr:row>
          <xdr:rowOff>184150</xdr:rowOff>
        </xdr:from>
        <xdr:to>
          <xdr:col>2</xdr:col>
          <xdr:colOff>539750</xdr:colOff>
          <xdr:row>26</xdr:row>
          <xdr:rowOff>368300</xdr:rowOff>
        </xdr:to>
        <xdr:sp macro="" textlink="">
          <xdr:nvSpPr>
            <xdr:cNvPr id="9230" name="Opt1_2_4" hidden="1">
              <a:extLst>
                <a:ext uri="{63B3BB69-23CF-44E3-9099-C40C66FF867C}">
                  <a14:compatExt spid="_x0000_s92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30</xdr:row>
          <xdr:rowOff>0</xdr:rowOff>
        </xdr:from>
        <xdr:to>
          <xdr:col>2</xdr:col>
          <xdr:colOff>527050</xdr:colOff>
          <xdr:row>31</xdr:row>
          <xdr:rowOff>38100</xdr:rowOff>
        </xdr:to>
        <xdr:sp macro="" textlink="">
          <xdr:nvSpPr>
            <xdr:cNvPr id="9231" name="Opt1_2_5" hidden="1">
              <a:extLst>
                <a:ext uri="{63B3BB69-23CF-44E3-9099-C40C66FF867C}">
                  <a14:compatExt spid="_x0000_s92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35</xdr:row>
          <xdr:rowOff>127000</xdr:rowOff>
        </xdr:from>
        <xdr:to>
          <xdr:col>2</xdr:col>
          <xdr:colOff>546100</xdr:colOff>
          <xdr:row>35</xdr:row>
          <xdr:rowOff>317500</xdr:rowOff>
        </xdr:to>
        <xdr:sp macro="" textlink="">
          <xdr:nvSpPr>
            <xdr:cNvPr id="9232" name="Opt1_3_1" hidden="1">
              <a:extLst>
                <a:ext uri="{63B3BB69-23CF-44E3-9099-C40C66FF867C}">
                  <a14:compatExt spid="_x0000_s92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37</xdr:row>
          <xdr:rowOff>133350</xdr:rowOff>
        </xdr:from>
        <xdr:to>
          <xdr:col>2</xdr:col>
          <xdr:colOff>546100</xdr:colOff>
          <xdr:row>37</xdr:row>
          <xdr:rowOff>323850</xdr:rowOff>
        </xdr:to>
        <xdr:sp macro="" textlink="">
          <xdr:nvSpPr>
            <xdr:cNvPr id="9233" name="Opt1_3_2" hidden="1">
              <a:extLst>
                <a:ext uri="{63B3BB69-23CF-44E3-9099-C40C66FF867C}">
                  <a14:compatExt spid="_x0000_s92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39</xdr:row>
          <xdr:rowOff>317500</xdr:rowOff>
        </xdr:from>
        <xdr:to>
          <xdr:col>2</xdr:col>
          <xdr:colOff>546100</xdr:colOff>
          <xdr:row>40</xdr:row>
          <xdr:rowOff>69850</xdr:rowOff>
        </xdr:to>
        <xdr:sp macro="" textlink="">
          <xdr:nvSpPr>
            <xdr:cNvPr id="9234" name="Opt1_3_3" hidden="1">
              <a:extLst>
                <a:ext uri="{63B3BB69-23CF-44E3-9099-C40C66FF867C}">
                  <a14:compatExt spid="_x0000_s92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42</xdr:row>
          <xdr:rowOff>241300</xdr:rowOff>
        </xdr:from>
        <xdr:to>
          <xdr:col>2</xdr:col>
          <xdr:colOff>546100</xdr:colOff>
          <xdr:row>43</xdr:row>
          <xdr:rowOff>139700</xdr:rowOff>
        </xdr:to>
        <xdr:sp macro="" textlink="">
          <xdr:nvSpPr>
            <xdr:cNvPr id="9235" name="Opt1_3_4" hidden="1">
              <a:extLst>
                <a:ext uri="{63B3BB69-23CF-44E3-9099-C40C66FF867C}">
                  <a14:compatExt spid="_x0000_s92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45</xdr:row>
          <xdr:rowOff>133350</xdr:rowOff>
        </xdr:from>
        <xdr:to>
          <xdr:col>2</xdr:col>
          <xdr:colOff>546100</xdr:colOff>
          <xdr:row>46</xdr:row>
          <xdr:rowOff>31750</xdr:rowOff>
        </xdr:to>
        <xdr:sp macro="" textlink="">
          <xdr:nvSpPr>
            <xdr:cNvPr id="9236" name="Opt1_3_5" hidden="1">
              <a:extLst>
                <a:ext uri="{63B3BB69-23CF-44E3-9099-C40C66FF867C}">
                  <a14:compatExt spid="_x0000_s92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56</xdr:row>
          <xdr:rowOff>95250</xdr:rowOff>
        </xdr:from>
        <xdr:to>
          <xdr:col>2</xdr:col>
          <xdr:colOff>527050</xdr:colOff>
          <xdr:row>57</xdr:row>
          <xdr:rowOff>133350</xdr:rowOff>
        </xdr:to>
        <xdr:sp macro="" textlink="">
          <xdr:nvSpPr>
            <xdr:cNvPr id="9237" name="Opt1_4_1" hidden="1">
              <a:extLst>
                <a:ext uri="{63B3BB69-23CF-44E3-9099-C40C66FF867C}">
                  <a14:compatExt spid="_x0000_s92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61</xdr:row>
          <xdr:rowOff>12700</xdr:rowOff>
        </xdr:from>
        <xdr:to>
          <xdr:col>2</xdr:col>
          <xdr:colOff>539750</xdr:colOff>
          <xdr:row>62</xdr:row>
          <xdr:rowOff>44450</xdr:rowOff>
        </xdr:to>
        <xdr:sp macro="" textlink="">
          <xdr:nvSpPr>
            <xdr:cNvPr id="9238" name="Opt1_4_2" hidden="1">
              <a:extLst>
                <a:ext uri="{63B3BB69-23CF-44E3-9099-C40C66FF867C}">
                  <a14:compatExt spid="_x0000_s92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67</xdr:row>
          <xdr:rowOff>38100</xdr:rowOff>
        </xdr:from>
        <xdr:to>
          <xdr:col>2</xdr:col>
          <xdr:colOff>539750</xdr:colOff>
          <xdr:row>67</xdr:row>
          <xdr:rowOff>222250</xdr:rowOff>
        </xdr:to>
        <xdr:sp macro="" textlink="">
          <xdr:nvSpPr>
            <xdr:cNvPr id="9239" name="Opt1_4_3" hidden="1">
              <a:extLst>
                <a:ext uri="{63B3BB69-23CF-44E3-9099-C40C66FF867C}">
                  <a14:compatExt spid="_x0000_s92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72</xdr:row>
          <xdr:rowOff>241300</xdr:rowOff>
        </xdr:from>
        <xdr:to>
          <xdr:col>2</xdr:col>
          <xdr:colOff>527050</xdr:colOff>
          <xdr:row>73</xdr:row>
          <xdr:rowOff>139700</xdr:rowOff>
        </xdr:to>
        <xdr:sp macro="" textlink="">
          <xdr:nvSpPr>
            <xdr:cNvPr id="9240" name="Opt1_4_4" hidden="1">
              <a:extLst>
                <a:ext uri="{63B3BB69-23CF-44E3-9099-C40C66FF867C}">
                  <a14:compatExt spid="_x0000_s92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393700</xdr:colOff>
          <xdr:row>77</xdr:row>
          <xdr:rowOff>146050</xdr:rowOff>
        </xdr:from>
        <xdr:to>
          <xdr:col>2</xdr:col>
          <xdr:colOff>558800</xdr:colOff>
          <xdr:row>78</xdr:row>
          <xdr:rowOff>184150</xdr:rowOff>
        </xdr:to>
        <xdr:sp macro="" textlink="">
          <xdr:nvSpPr>
            <xdr:cNvPr id="9241" name="Opt1_4_5" hidden="1">
              <a:extLst>
                <a:ext uri="{63B3BB69-23CF-44E3-9099-C40C66FF867C}">
                  <a14:compatExt spid="_x0000_s9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56</xdr:row>
          <xdr:rowOff>76200</xdr:rowOff>
        </xdr:from>
        <xdr:to>
          <xdr:col>6</xdr:col>
          <xdr:colOff>520700</xdr:colOff>
          <xdr:row>57</xdr:row>
          <xdr:rowOff>114300</xdr:rowOff>
        </xdr:to>
        <xdr:sp macro="" textlink="">
          <xdr:nvSpPr>
            <xdr:cNvPr id="9242" name="Opt1_4_2_1" hidden="1">
              <a:extLst>
                <a:ext uri="{63B3BB69-23CF-44E3-9099-C40C66FF867C}">
                  <a14:compatExt spid="_x0000_s92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374650</xdr:colOff>
          <xdr:row>61</xdr:row>
          <xdr:rowOff>12700</xdr:rowOff>
        </xdr:from>
        <xdr:to>
          <xdr:col>6</xdr:col>
          <xdr:colOff>533400</xdr:colOff>
          <xdr:row>62</xdr:row>
          <xdr:rowOff>44450</xdr:rowOff>
        </xdr:to>
        <xdr:sp macro="" textlink="">
          <xdr:nvSpPr>
            <xdr:cNvPr id="9243" name="Opt1_4_2_2" hidden="1">
              <a:extLst>
                <a:ext uri="{63B3BB69-23CF-44E3-9099-C40C66FF867C}">
                  <a14:compatExt spid="_x0000_s92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374650</xdr:colOff>
          <xdr:row>67</xdr:row>
          <xdr:rowOff>0</xdr:rowOff>
        </xdr:from>
        <xdr:to>
          <xdr:col>6</xdr:col>
          <xdr:colOff>539750</xdr:colOff>
          <xdr:row>67</xdr:row>
          <xdr:rowOff>190500</xdr:rowOff>
        </xdr:to>
        <xdr:sp macro="" textlink="">
          <xdr:nvSpPr>
            <xdr:cNvPr id="9244" name="Opt1_4_2_3" hidden="1">
              <a:extLst>
                <a:ext uri="{63B3BB69-23CF-44E3-9099-C40C66FF867C}">
                  <a14:compatExt spid="_x0000_s92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72</xdr:row>
          <xdr:rowOff>209550</xdr:rowOff>
        </xdr:from>
        <xdr:to>
          <xdr:col>6</xdr:col>
          <xdr:colOff>520700</xdr:colOff>
          <xdr:row>73</xdr:row>
          <xdr:rowOff>101600</xdr:rowOff>
        </xdr:to>
        <xdr:sp macro="" textlink="">
          <xdr:nvSpPr>
            <xdr:cNvPr id="9245" name="Opt1_4_2_4" hidden="1">
              <a:extLst>
                <a:ext uri="{63B3BB69-23CF-44E3-9099-C40C66FF867C}">
                  <a14:compatExt spid="_x0000_s92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77</xdr:row>
          <xdr:rowOff>146050</xdr:rowOff>
        </xdr:from>
        <xdr:to>
          <xdr:col>6</xdr:col>
          <xdr:colOff>520700</xdr:colOff>
          <xdr:row>78</xdr:row>
          <xdr:rowOff>177800</xdr:rowOff>
        </xdr:to>
        <xdr:sp macro="" textlink="">
          <xdr:nvSpPr>
            <xdr:cNvPr id="9246" name="Opt1_4_2_5" hidden="1">
              <a:extLst>
                <a:ext uri="{63B3BB69-23CF-44E3-9099-C40C66FF867C}">
                  <a14:compatExt spid="_x0000_s92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83</xdr:row>
          <xdr:rowOff>222250</xdr:rowOff>
        </xdr:from>
        <xdr:to>
          <xdr:col>2</xdr:col>
          <xdr:colOff>527050</xdr:colOff>
          <xdr:row>83</xdr:row>
          <xdr:rowOff>412750</xdr:rowOff>
        </xdr:to>
        <xdr:sp macro="" textlink="">
          <xdr:nvSpPr>
            <xdr:cNvPr id="9247" name="Opt1_5_1" hidden="1">
              <a:extLst>
                <a:ext uri="{63B3BB69-23CF-44E3-9099-C40C66FF867C}">
                  <a14:compatExt spid="_x0000_s92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86</xdr:row>
          <xdr:rowOff>222250</xdr:rowOff>
        </xdr:from>
        <xdr:to>
          <xdr:col>2</xdr:col>
          <xdr:colOff>527050</xdr:colOff>
          <xdr:row>86</xdr:row>
          <xdr:rowOff>412750</xdr:rowOff>
        </xdr:to>
        <xdr:sp macro="" textlink="">
          <xdr:nvSpPr>
            <xdr:cNvPr id="9248" name="Opt1_5_2" hidden="1">
              <a:extLst>
                <a:ext uri="{63B3BB69-23CF-44E3-9099-C40C66FF867C}">
                  <a14:compatExt spid="_x0000_s92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89</xdr:row>
          <xdr:rowOff>304800</xdr:rowOff>
        </xdr:from>
        <xdr:to>
          <xdr:col>2</xdr:col>
          <xdr:colOff>546100</xdr:colOff>
          <xdr:row>90</xdr:row>
          <xdr:rowOff>63500</xdr:rowOff>
        </xdr:to>
        <xdr:sp macro="" textlink="">
          <xdr:nvSpPr>
            <xdr:cNvPr id="9249" name="Opt1_5_3" hidden="1">
              <a:extLst>
                <a:ext uri="{63B3BB69-23CF-44E3-9099-C40C66FF867C}">
                  <a14:compatExt spid="_x0000_s92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92</xdr:row>
          <xdr:rowOff>222250</xdr:rowOff>
        </xdr:from>
        <xdr:to>
          <xdr:col>2</xdr:col>
          <xdr:colOff>527050</xdr:colOff>
          <xdr:row>93</xdr:row>
          <xdr:rowOff>12700</xdr:rowOff>
        </xdr:to>
        <xdr:sp macro="" textlink="">
          <xdr:nvSpPr>
            <xdr:cNvPr id="9250" name="Opt1_5_4" hidden="1">
              <a:extLst>
                <a:ext uri="{63B3BB69-23CF-44E3-9099-C40C66FF867C}">
                  <a14:compatExt spid="_x0000_s92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95</xdr:row>
          <xdr:rowOff>222250</xdr:rowOff>
        </xdr:from>
        <xdr:to>
          <xdr:col>2</xdr:col>
          <xdr:colOff>527050</xdr:colOff>
          <xdr:row>95</xdr:row>
          <xdr:rowOff>412750</xdr:rowOff>
        </xdr:to>
        <xdr:sp macro="" textlink="">
          <xdr:nvSpPr>
            <xdr:cNvPr id="9251" name="Opt1_5_5" hidden="1">
              <a:extLst>
                <a:ext uri="{63B3BB69-23CF-44E3-9099-C40C66FF867C}">
                  <a14:compatExt spid="_x0000_s92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83</xdr:row>
          <xdr:rowOff>222250</xdr:rowOff>
        </xdr:from>
        <xdr:to>
          <xdr:col>6</xdr:col>
          <xdr:colOff>527050</xdr:colOff>
          <xdr:row>83</xdr:row>
          <xdr:rowOff>412750</xdr:rowOff>
        </xdr:to>
        <xdr:sp macro="" textlink="">
          <xdr:nvSpPr>
            <xdr:cNvPr id="9252" name="Opt1_5_2_1" hidden="1">
              <a:extLst>
                <a:ext uri="{63B3BB69-23CF-44E3-9099-C40C66FF867C}">
                  <a14:compatExt spid="_x0000_s92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86</xdr:row>
          <xdr:rowOff>190500</xdr:rowOff>
        </xdr:from>
        <xdr:to>
          <xdr:col>6</xdr:col>
          <xdr:colOff>546100</xdr:colOff>
          <xdr:row>86</xdr:row>
          <xdr:rowOff>381000</xdr:rowOff>
        </xdr:to>
        <xdr:sp macro="" textlink="">
          <xdr:nvSpPr>
            <xdr:cNvPr id="9253" name="Opt1_5_2_2" hidden="1">
              <a:extLst>
                <a:ext uri="{63B3BB69-23CF-44E3-9099-C40C66FF867C}">
                  <a14:compatExt spid="_x0000_s92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89</xdr:row>
          <xdr:rowOff>298450</xdr:rowOff>
        </xdr:from>
        <xdr:to>
          <xdr:col>6</xdr:col>
          <xdr:colOff>527050</xdr:colOff>
          <xdr:row>90</xdr:row>
          <xdr:rowOff>63500</xdr:rowOff>
        </xdr:to>
        <xdr:sp macro="" textlink="">
          <xdr:nvSpPr>
            <xdr:cNvPr id="9254" name="Opt1_5_2_3" hidden="1">
              <a:extLst>
                <a:ext uri="{63B3BB69-23CF-44E3-9099-C40C66FF867C}">
                  <a14:compatExt spid="_x0000_s92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92</xdr:row>
          <xdr:rowOff>222250</xdr:rowOff>
        </xdr:from>
        <xdr:to>
          <xdr:col>6</xdr:col>
          <xdr:colOff>527050</xdr:colOff>
          <xdr:row>93</xdr:row>
          <xdr:rowOff>12700</xdr:rowOff>
        </xdr:to>
        <xdr:sp macro="" textlink="">
          <xdr:nvSpPr>
            <xdr:cNvPr id="9255" name="Opt1_5_2_4" hidden="1">
              <a:extLst>
                <a:ext uri="{63B3BB69-23CF-44E3-9099-C40C66FF867C}">
                  <a14:compatExt spid="_x0000_s92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95</xdr:row>
          <xdr:rowOff>260350</xdr:rowOff>
        </xdr:from>
        <xdr:to>
          <xdr:col>6</xdr:col>
          <xdr:colOff>527050</xdr:colOff>
          <xdr:row>96</xdr:row>
          <xdr:rowOff>25400</xdr:rowOff>
        </xdr:to>
        <xdr:sp macro="" textlink="">
          <xdr:nvSpPr>
            <xdr:cNvPr id="9256" name="Opt1_5_2_5" hidden="1">
              <a:extLst>
                <a:ext uri="{63B3BB69-23CF-44E3-9099-C40C66FF867C}">
                  <a14:compatExt spid="_x0000_s92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102</xdr:row>
          <xdr:rowOff>438150</xdr:rowOff>
        </xdr:from>
        <xdr:to>
          <xdr:col>2</xdr:col>
          <xdr:colOff>539750</xdr:colOff>
          <xdr:row>103</xdr:row>
          <xdr:rowOff>171450</xdr:rowOff>
        </xdr:to>
        <xdr:sp macro="" textlink="">
          <xdr:nvSpPr>
            <xdr:cNvPr id="9257" name="Opt1_6_1" hidden="1">
              <a:extLst>
                <a:ext uri="{63B3BB69-23CF-44E3-9099-C40C66FF867C}">
                  <a14:compatExt spid="_x0000_s92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121</xdr:row>
          <xdr:rowOff>76200</xdr:rowOff>
        </xdr:from>
        <xdr:to>
          <xdr:col>2</xdr:col>
          <xdr:colOff>546100</xdr:colOff>
          <xdr:row>121</xdr:row>
          <xdr:rowOff>260350</xdr:rowOff>
        </xdr:to>
        <xdr:sp macro="" textlink="">
          <xdr:nvSpPr>
            <xdr:cNvPr id="9258" name="Opt1_6_3" hidden="1">
              <a:extLst>
                <a:ext uri="{63B3BB69-23CF-44E3-9099-C40C66FF867C}">
                  <a14:compatExt spid="_x0000_s92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129</xdr:row>
          <xdr:rowOff>0</xdr:rowOff>
        </xdr:from>
        <xdr:to>
          <xdr:col>2</xdr:col>
          <xdr:colOff>546100</xdr:colOff>
          <xdr:row>130</xdr:row>
          <xdr:rowOff>31750</xdr:rowOff>
        </xdr:to>
        <xdr:sp macro="" textlink="">
          <xdr:nvSpPr>
            <xdr:cNvPr id="9259" name="Opt1_6_4" hidden="1">
              <a:extLst>
                <a:ext uri="{63B3BB69-23CF-44E3-9099-C40C66FF867C}">
                  <a14:compatExt spid="_x0000_s92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136</xdr:row>
          <xdr:rowOff>0</xdr:rowOff>
        </xdr:from>
        <xdr:to>
          <xdr:col>2</xdr:col>
          <xdr:colOff>546100</xdr:colOff>
          <xdr:row>137</xdr:row>
          <xdr:rowOff>31750</xdr:rowOff>
        </xdr:to>
        <xdr:sp macro="" textlink="">
          <xdr:nvSpPr>
            <xdr:cNvPr id="9260" name="Opt1_6_5" hidden="1">
              <a:extLst>
                <a:ext uri="{63B3BB69-23CF-44E3-9099-C40C66FF867C}">
                  <a14:compatExt spid="_x0000_s92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102</xdr:row>
          <xdr:rowOff>431800</xdr:rowOff>
        </xdr:from>
        <xdr:to>
          <xdr:col>6</xdr:col>
          <xdr:colOff>527050</xdr:colOff>
          <xdr:row>103</xdr:row>
          <xdr:rowOff>165100</xdr:rowOff>
        </xdr:to>
        <xdr:sp macro="" textlink="">
          <xdr:nvSpPr>
            <xdr:cNvPr id="9261" name="Opt1_6_2_1" hidden="1">
              <a:extLst>
                <a:ext uri="{63B3BB69-23CF-44E3-9099-C40C66FF867C}">
                  <a14:compatExt spid="_x0000_s92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112</xdr:row>
          <xdr:rowOff>19050</xdr:rowOff>
        </xdr:from>
        <xdr:to>
          <xdr:col>6</xdr:col>
          <xdr:colOff>527050</xdr:colOff>
          <xdr:row>112</xdr:row>
          <xdr:rowOff>203200</xdr:rowOff>
        </xdr:to>
        <xdr:sp macro="" textlink="">
          <xdr:nvSpPr>
            <xdr:cNvPr id="9262" name="Opt1_6_2_2" hidden="1">
              <a:extLst>
                <a:ext uri="{63B3BB69-23CF-44E3-9099-C40C66FF867C}">
                  <a14:compatExt spid="_x0000_s92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121</xdr:row>
          <xdr:rowOff>50800</xdr:rowOff>
        </xdr:from>
        <xdr:to>
          <xdr:col>6</xdr:col>
          <xdr:colOff>520700</xdr:colOff>
          <xdr:row>121</xdr:row>
          <xdr:rowOff>234950</xdr:rowOff>
        </xdr:to>
        <xdr:sp macro="" textlink="">
          <xdr:nvSpPr>
            <xdr:cNvPr id="9263" name="Opt1_6_2_3" hidden="1">
              <a:extLst>
                <a:ext uri="{63B3BB69-23CF-44E3-9099-C40C66FF867C}">
                  <a14:compatExt spid="_x0000_s92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374650</xdr:colOff>
          <xdr:row>129</xdr:row>
          <xdr:rowOff>0</xdr:rowOff>
        </xdr:from>
        <xdr:to>
          <xdr:col>6</xdr:col>
          <xdr:colOff>539750</xdr:colOff>
          <xdr:row>130</xdr:row>
          <xdr:rowOff>31750</xdr:rowOff>
        </xdr:to>
        <xdr:sp macro="" textlink="">
          <xdr:nvSpPr>
            <xdr:cNvPr id="9264" name="Opt1_6_2_4" hidden="1">
              <a:extLst>
                <a:ext uri="{63B3BB69-23CF-44E3-9099-C40C66FF867C}">
                  <a14:compatExt spid="_x0000_s92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136</xdr:row>
          <xdr:rowOff>0</xdr:rowOff>
        </xdr:from>
        <xdr:to>
          <xdr:col>6</xdr:col>
          <xdr:colOff>527050</xdr:colOff>
          <xdr:row>137</xdr:row>
          <xdr:rowOff>19050</xdr:rowOff>
        </xdr:to>
        <xdr:sp macro="" textlink="">
          <xdr:nvSpPr>
            <xdr:cNvPr id="9265" name="Opt1_6_2_5" hidden="1">
              <a:extLst>
                <a:ext uri="{63B3BB69-23CF-44E3-9099-C40C66FF867C}">
                  <a14:compatExt spid="_x0000_s9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150</xdr:row>
          <xdr:rowOff>0</xdr:rowOff>
        </xdr:from>
        <xdr:to>
          <xdr:col>2</xdr:col>
          <xdr:colOff>546100</xdr:colOff>
          <xdr:row>150</xdr:row>
          <xdr:rowOff>184150</xdr:rowOff>
        </xdr:to>
        <xdr:sp macro="" textlink="">
          <xdr:nvSpPr>
            <xdr:cNvPr id="9266" name="Opt1_7_1" hidden="1">
              <a:extLst>
                <a:ext uri="{63B3BB69-23CF-44E3-9099-C40C66FF867C}">
                  <a14:compatExt spid="_x0000_s92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155</xdr:row>
          <xdr:rowOff>146050</xdr:rowOff>
        </xdr:from>
        <xdr:to>
          <xdr:col>2</xdr:col>
          <xdr:colOff>546100</xdr:colOff>
          <xdr:row>156</xdr:row>
          <xdr:rowOff>31750</xdr:rowOff>
        </xdr:to>
        <xdr:sp macro="" textlink="">
          <xdr:nvSpPr>
            <xdr:cNvPr id="9267" name="Opt1_7_2" hidden="1">
              <a:extLst>
                <a:ext uri="{63B3BB69-23CF-44E3-9099-C40C66FF867C}">
                  <a14:compatExt spid="_x0000_s92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160</xdr:row>
          <xdr:rowOff>241300</xdr:rowOff>
        </xdr:from>
        <xdr:to>
          <xdr:col>2</xdr:col>
          <xdr:colOff>546100</xdr:colOff>
          <xdr:row>161</xdr:row>
          <xdr:rowOff>101600</xdr:rowOff>
        </xdr:to>
        <xdr:sp macro="" textlink="">
          <xdr:nvSpPr>
            <xdr:cNvPr id="9268" name="Opt1_7_3" hidden="1">
              <a:extLst>
                <a:ext uri="{63B3BB69-23CF-44E3-9099-C40C66FF867C}">
                  <a14:compatExt spid="_x0000_s92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165</xdr:row>
          <xdr:rowOff>228600</xdr:rowOff>
        </xdr:from>
        <xdr:to>
          <xdr:col>2</xdr:col>
          <xdr:colOff>539750</xdr:colOff>
          <xdr:row>166</xdr:row>
          <xdr:rowOff>88900</xdr:rowOff>
        </xdr:to>
        <xdr:sp macro="" textlink="">
          <xdr:nvSpPr>
            <xdr:cNvPr id="9269" name="Opt1_7_4" hidden="1">
              <a:extLst>
                <a:ext uri="{63B3BB69-23CF-44E3-9099-C40C66FF867C}">
                  <a14:compatExt spid="_x0000_s92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393700</xdr:colOff>
          <xdr:row>171</xdr:row>
          <xdr:rowOff>0</xdr:rowOff>
        </xdr:from>
        <xdr:to>
          <xdr:col>2</xdr:col>
          <xdr:colOff>558800</xdr:colOff>
          <xdr:row>172</xdr:row>
          <xdr:rowOff>31750</xdr:rowOff>
        </xdr:to>
        <xdr:sp macro="" textlink="">
          <xdr:nvSpPr>
            <xdr:cNvPr id="9270" name="Opt1_7_5" hidden="1">
              <a:extLst>
                <a:ext uri="{63B3BB69-23CF-44E3-9099-C40C66FF867C}">
                  <a14:compatExt spid="_x0000_s92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149</xdr:row>
          <xdr:rowOff>266700</xdr:rowOff>
        </xdr:from>
        <xdr:to>
          <xdr:col>6</xdr:col>
          <xdr:colOff>508000</xdr:colOff>
          <xdr:row>150</xdr:row>
          <xdr:rowOff>152400</xdr:rowOff>
        </xdr:to>
        <xdr:sp macro="" textlink="">
          <xdr:nvSpPr>
            <xdr:cNvPr id="9271" name="Opt1_7_2_1" hidden="1">
              <a:extLst>
                <a:ext uri="{63B3BB69-23CF-44E3-9099-C40C66FF867C}">
                  <a14:compatExt spid="_x0000_s92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155</xdr:row>
          <xdr:rowOff>184150</xdr:rowOff>
        </xdr:from>
        <xdr:to>
          <xdr:col>6</xdr:col>
          <xdr:colOff>546100</xdr:colOff>
          <xdr:row>156</xdr:row>
          <xdr:rowOff>69850</xdr:rowOff>
        </xdr:to>
        <xdr:sp macro="" textlink="">
          <xdr:nvSpPr>
            <xdr:cNvPr id="9272" name="Opt1_7_2_2" hidden="1">
              <a:extLst>
                <a:ext uri="{63B3BB69-23CF-44E3-9099-C40C66FF867C}">
                  <a14:compatExt spid="_x0000_s92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160</xdr:row>
          <xdr:rowOff>241300</xdr:rowOff>
        </xdr:from>
        <xdr:to>
          <xdr:col>6</xdr:col>
          <xdr:colOff>527050</xdr:colOff>
          <xdr:row>161</xdr:row>
          <xdr:rowOff>101600</xdr:rowOff>
        </xdr:to>
        <xdr:sp macro="" textlink="">
          <xdr:nvSpPr>
            <xdr:cNvPr id="9273" name="Opt1_7_2_3" hidden="1">
              <a:extLst>
                <a:ext uri="{63B3BB69-23CF-44E3-9099-C40C66FF867C}">
                  <a14:compatExt spid="_x0000_s92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165</xdr:row>
          <xdr:rowOff>247650</xdr:rowOff>
        </xdr:from>
        <xdr:to>
          <xdr:col>6</xdr:col>
          <xdr:colOff>520700</xdr:colOff>
          <xdr:row>166</xdr:row>
          <xdr:rowOff>107950</xdr:rowOff>
        </xdr:to>
        <xdr:sp macro="" textlink="">
          <xdr:nvSpPr>
            <xdr:cNvPr id="9274" name="Opt1_7_2_4" hidden="1">
              <a:extLst>
                <a:ext uri="{63B3BB69-23CF-44E3-9099-C40C66FF867C}">
                  <a14:compatExt spid="_x0000_s92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374650</xdr:colOff>
          <xdr:row>171</xdr:row>
          <xdr:rowOff>0</xdr:rowOff>
        </xdr:from>
        <xdr:to>
          <xdr:col>6</xdr:col>
          <xdr:colOff>539750</xdr:colOff>
          <xdr:row>172</xdr:row>
          <xdr:rowOff>31750</xdr:rowOff>
        </xdr:to>
        <xdr:sp macro="" textlink="">
          <xdr:nvSpPr>
            <xdr:cNvPr id="9275" name="Opt1_7_2_5" hidden="1">
              <a:extLst>
                <a:ext uri="{63B3BB69-23CF-44E3-9099-C40C66FF867C}">
                  <a14:compatExt spid="_x0000_s92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393700</xdr:colOff>
          <xdr:row>178</xdr:row>
          <xdr:rowOff>146050</xdr:rowOff>
        </xdr:from>
        <xdr:to>
          <xdr:col>2</xdr:col>
          <xdr:colOff>558800</xdr:colOff>
          <xdr:row>178</xdr:row>
          <xdr:rowOff>330200</xdr:rowOff>
        </xdr:to>
        <xdr:sp macro="" textlink="">
          <xdr:nvSpPr>
            <xdr:cNvPr id="9276" name="Opt1_8_1" hidden="1">
              <a:extLst>
                <a:ext uri="{63B3BB69-23CF-44E3-9099-C40C66FF867C}">
                  <a14:compatExt spid="_x0000_s92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184</xdr:row>
          <xdr:rowOff>0</xdr:rowOff>
        </xdr:from>
        <xdr:to>
          <xdr:col>2</xdr:col>
          <xdr:colOff>565150</xdr:colOff>
          <xdr:row>184</xdr:row>
          <xdr:rowOff>190500</xdr:rowOff>
        </xdr:to>
        <xdr:sp macro="" textlink="">
          <xdr:nvSpPr>
            <xdr:cNvPr id="9277" name="Opt1_8_2" hidden="1">
              <a:extLst>
                <a:ext uri="{63B3BB69-23CF-44E3-9099-C40C66FF867C}">
                  <a14:compatExt spid="_x0000_s92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190</xdr:row>
          <xdr:rowOff>0</xdr:rowOff>
        </xdr:from>
        <xdr:to>
          <xdr:col>2</xdr:col>
          <xdr:colOff>565150</xdr:colOff>
          <xdr:row>190</xdr:row>
          <xdr:rowOff>184150</xdr:rowOff>
        </xdr:to>
        <xdr:sp macro="" textlink="">
          <xdr:nvSpPr>
            <xdr:cNvPr id="9278" name="Opt1_8_3" hidden="1">
              <a:extLst>
                <a:ext uri="{63B3BB69-23CF-44E3-9099-C40C66FF867C}">
                  <a14:compatExt spid="_x0000_s92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196</xdr:row>
          <xdr:rowOff>0</xdr:rowOff>
        </xdr:from>
        <xdr:to>
          <xdr:col>2</xdr:col>
          <xdr:colOff>527050</xdr:colOff>
          <xdr:row>196</xdr:row>
          <xdr:rowOff>184150</xdr:rowOff>
        </xdr:to>
        <xdr:sp macro="" textlink="">
          <xdr:nvSpPr>
            <xdr:cNvPr id="9279" name="Opt1_8_4" hidden="1">
              <a:extLst>
                <a:ext uri="{63B3BB69-23CF-44E3-9099-C40C66FF867C}">
                  <a14:compatExt spid="_x0000_s92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201</xdr:row>
          <xdr:rowOff>222250</xdr:rowOff>
        </xdr:from>
        <xdr:to>
          <xdr:col>2</xdr:col>
          <xdr:colOff>539750</xdr:colOff>
          <xdr:row>202</xdr:row>
          <xdr:rowOff>114300</xdr:rowOff>
        </xdr:to>
        <xdr:sp macro="" textlink="">
          <xdr:nvSpPr>
            <xdr:cNvPr id="9280" name="Opt1_8_5" hidden="1">
              <a:extLst>
                <a:ext uri="{63B3BB69-23CF-44E3-9099-C40C66FF867C}">
                  <a14:compatExt spid="_x0000_s92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178</xdr:row>
          <xdr:rowOff>38100</xdr:rowOff>
        </xdr:from>
        <xdr:to>
          <xdr:col>6</xdr:col>
          <xdr:colOff>520700</xdr:colOff>
          <xdr:row>178</xdr:row>
          <xdr:rowOff>222250</xdr:rowOff>
        </xdr:to>
        <xdr:sp macro="" textlink="">
          <xdr:nvSpPr>
            <xdr:cNvPr id="9281" name="Opt1_8_2_1" hidden="1">
              <a:extLst>
                <a:ext uri="{63B3BB69-23CF-44E3-9099-C40C66FF867C}">
                  <a14:compatExt spid="_x0000_s92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184</xdr:row>
          <xdr:rowOff>0</xdr:rowOff>
        </xdr:from>
        <xdr:to>
          <xdr:col>6</xdr:col>
          <xdr:colOff>520700</xdr:colOff>
          <xdr:row>184</xdr:row>
          <xdr:rowOff>184150</xdr:rowOff>
        </xdr:to>
        <xdr:sp macro="" textlink="">
          <xdr:nvSpPr>
            <xdr:cNvPr id="9282" name="Opt1_8_2_2" hidden="1">
              <a:extLst>
                <a:ext uri="{63B3BB69-23CF-44E3-9099-C40C66FF867C}">
                  <a14:compatExt spid="_x0000_s92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374650</xdr:colOff>
          <xdr:row>190</xdr:row>
          <xdr:rowOff>0</xdr:rowOff>
        </xdr:from>
        <xdr:to>
          <xdr:col>6</xdr:col>
          <xdr:colOff>539750</xdr:colOff>
          <xdr:row>190</xdr:row>
          <xdr:rowOff>184150</xdr:rowOff>
        </xdr:to>
        <xdr:sp macro="" textlink="">
          <xdr:nvSpPr>
            <xdr:cNvPr id="9283" name="Opt1_8_2_3" hidden="1">
              <a:extLst>
                <a:ext uri="{63B3BB69-23CF-44E3-9099-C40C66FF867C}">
                  <a14:compatExt spid="_x0000_s92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196</xdr:row>
          <xdr:rowOff>0</xdr:rowOff>
        </xdr:from>
        <xdr:to>
          <xdr:col>6</xdr:col>
          <xdr:colOff>520700</xdr:colOff>
          <xdr:row>196</xdr:row>
          <xdr:rowOff>184150</xdr:rowOff>
        </xdr:to>
        <xdr:sp macro="" textlink="">
          <xdr:nvSpPr>
            <xdr:cNvPr id="9284" name="Opt1_8_2_4" hidden="1">
              <a:extLst>
                <a:ext uri="{63B3BB69-23CF-44E3-9099-C40C66FF867C}">
                  <a14:compatExt spid="_x0000_s92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201</xdr:row>
          <xdr:rowOff>222250</xdr:rowOff>
        </xdr:from>
        <xdr:to>
          <xdr:col>6</xdr:col>
          <xdr:colOff>520700</xdr:colOff>
          <xdr:row>202</xdr:row>
          <xdr:rowOff>114300</xdr:rowOff>
        </xdr:to>
        <xdr:sp macro="" textlink="">
          <xdr:nvSpPr>
            <xdr:cNvPr id="9285" name="Opt1_8_2_5" hidden="1">
              <a:extLst>
                <a:ext uri="{63B3BB69-23CF-44E3-9099-C40C66FF867C}">
                  <a14:compatExt spid="_x0000_s92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209</xdr:row>
          <xdr:rowOff>76200</xdr:rowOff>
        </xdr:from>
        <xdr:to>
          <xdr:col>2</xdr:col>
          <xdr:colOff>546100</xdr:colOff>
          <xdr:row>210</xdr:row>
          <xdr:rowOff>114300</xdr:rowOff>
        </xdr:to>
        <xdr:sp macro="" textlink="">
          <xdr:nvSpPr>
            <xdr:cNvPr id="9286" name="Opt1_9_1" hidden="1">
              <a:extLst>
                <a:ext uri="{63B3BB69-23CF-44E3-9099-C40C66FF867C}">
                  <a14:compatExt spid="_x0000_s92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393700</xdr:colOff>
          <xdr:row>215</xdr:row>
          <xdr:rowOff>107950</xdr:rowOff>
        </xdr:from>
        <xdr:to>
          <xdr:col>2</xdr:col>
          <xdr:colOff>558800</xdr:colOff>
          <xdr:row>215</xdr:row>
          <xdr:rowOff>292100</xdr:rowOff>
        </xdr:to>
        <xdr:sp macro="" textlink="">
          <xdr:nvSpPr>
            <xdr:cNvPr id="9287" name="Opt1_9_2" hidden="1">
              <a:extLst>
                <a:ext uri="{63B3BB69-23CF-44E3-9099-C40C66FF867C}">
                  <a14:compatExt spid="_x0000_s92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400050</xdr:colOff>
          <xdr:row>220</xdr:row>
          <xdr:rowOff>107950</xdr:rowOff>
        </xdr:from>
        <xdr:to>
          <xdr:col>2</xdr:col>
          <xdr:colOff>565150</xdr:colOff>
          <xdr:row>220</xdr:row>
          <xdr:rowOff>292100</xdr:rowOff>
        </xdr:to>
        <xdr:sp macro="" textlink="">
          <xdr:nvSpPr>
            <xdr:cNvPr id="9288" name="Opt1_9_3" hidden="1">
              <a:extLst>
                <a:ext uri="{63B3BB69-23CF-44E3-9099-C40C66FF867C}">
                  <a14:compatExt spid="_x0000_s92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393700</xdr:colOff>
          <xdr:row>225</xdr:row>
          <xdr:rowOff>165100</xdr:rowOff>
        </xdr:from>
        <xdr:to>
          <xdr:col>2</xdr:col>
          <xdr:colOff>558800</xdr:colOff>
          <xdr:row>226</xdr:row>
          <xdr:rowOff>50800</xdr:rowOff>
        </xdr:to>
        <xdr:sp macro="" textlink="">
          <xdr:nvSpPr>
            <xdr:cNvPr id="9289" name="Opt1_9_4" hidden="1">
              <a:extLst>
                <a:ext uri="{63B3BB69-23CF-44E3-9099-C40C66FF867C}">
                  <a14:compatExt spid="_x0000_s92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230</xdr:row>
          <xdr:rowOff>0</xdr:rowOff>
        </xdr:from>
        <xdr:to>
          <xdr:col>2</xdr:col>
          <xdr:colOff>546100</xdr:colOff>
          <xdr:row>230</xdr:row>
          <xdr:rowOff>184150</xdr:rowOff>
        </xdr:to>
        <xdr:sp macro="" textlink="">
          <xdr:nvSpPr>
            <xdr:cNvPr id="9290" name="Opt1_9_5" hidden="1">
              <a:extLst>
                <a:ext uri="{63B3BB69-23CF-44E3-9099-C40C66FF867C}">
                  <a14:compatExt spid="_x0000_s92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209</xdr:row>
          <xdr:rowOff>69850</xdr:rowOff>
        </xdr:from>
        <xdr:to>
          <xdr:col>6</xdr:col>
          <xdr:colOff>514350</xdr:colOff>
          <xdr:row>210</xdr:row>
          <xdr:rowOff>107950</xdr:rowOff>
        </xdr:to>
        <xdr:sp macro="" textlink="">
          <xdr:nvSpPr>
            <xdr:cNvPr id="9291" name="Opt1_9_2_1" hidden="1">
              <a:extLst>
                <a:ext uri="{63B3BB69-23CF-44E3-9099-C40C66FF867C}">
                  <a14:compatExt spid="_x0000_s92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215</xdr:row>
          <xdr:rowOff>88900</xdr:rowOff>
        </xdr:from>
        <xdr:to>
          <xdr:col>6</xdr:col>
          <xdr:colOff>527050</xdr:colOff>
          <xdr:row>215</xdr:row>
          <xdr:rowOff>273050</xdr:rowOff>
        </xdr:to>
        <xdr:sp macro="" textlink="">
          <xdr:nvSpPr>
            <xdr:cNvPr id="9292" name="Opt1_9_2_2" hidden="1">
              <a:extLst>
                <a:ext uri="{63B3BB69-23CF-44E3-9099-C40C66FF867C}">
                  <a14:compatExt spid="_x0000_s92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374650</xdr:colOff>
          <xdr:row>220</xdr:row>
          <xdr:rowOff>95250</xdr:rowOff>
        </xdr:from>
        <xdr:to>
          <xdr:col>6</xdr:col>
          <xdr:colOff>539750</xdr:colOff>
          <xdr:row>220</xdr:row>
          <xdr:rowOff>279400</xdr:rowOff>
        </xdr:to>
        <xdr:sp macro="" textlink="">
          <xdr:nvSpPr>
            <xdr:cNvPr id="9293" name="Opt1_9_2_3" hidden="1">
              <a:extLst>
                <a:ext uri="{63B3BB69-23CF-44E3-9099-C40C66FF867C}">
                  <a14:compatExt spid="_x0000_s92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225</xdr:row>
          <xdr:rowOff>127000</xdr:rowOff>
        </xdr:from>
        <xdr:to>
          <xdr:col>6</xdr:col>
          <xdr:colOff>558800</xdr:colOff>
          <xdr:row>226</xdr:row>
          <xdr:rowOff>12700</xdr:rowOff>
        </xdr:to>
        <xdr:sp macro="" textlink="">
          <xdr:nvSpPr>
            <xdr:cNvPr id="9294" name="Opt1_9_2_4" hidden="1">
              <a:extLst>
                <a:ext uri="{63B3BB69-23CF-44E3-9099-C40C66FF867C}">
                  <a14:compatExt spid="_x0000_s92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374650</xdr:colOff>
          <xdr:row>230</xdr:row>
          <xdr:rowOff>0</xdr:rowOff>
        </xdr:from>
        <xdr:to>
          <xdr:col>6</xdr:col>
          <xdr:colOff>539750</xdr:colOff>
          <xdr:row>230</xdr:row>
          <xdr:rowOff>184150</xdr:rowOff>
        </xdr:to>
        <xdr:sp macro="" textlink="">
          <xdr:nvSpPr>
            <xdr:cNvPr id="9295" name="Opt1_9_2_5" hidden="1">
              <a:extLst>
                <a:ext uri="{63B3BB69-23CF-44E3-9099-C40C66FF867C}">
                  <a14:compatExt spid="_x0000_s92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237</xdr:row>
          <xdr:rowOff>12700</xdr:rowOff>
        </xdr:from>
        <xdr:to>
          <xdr:col>2</xdr:col>
          <xdr:colOff>546100</xdr:colOff>
          <xdr:row>237</xdr:row>
          <xdr:rowOff>196850</xdr:rowOff>
        </xdr:to>
        <xdr:sp macro="" textlink="">
          <xdr:nvSpPr>
            <xdr:cNvPr id="9296" name="Opt1_10_1" hidden="1">
              <a:extLst>
                <a:ext uri="{63B3BB69-23CF-44E3-9099-C40C66FF867C}">
                  <a14:compatExt spid="_x0000_s92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241</xdr:row>
          <xdr:rowOff>19050</xdr:rowOff>
        </xdr:from>
        <xdr:to>
          <xdr:col>2</xdr:col>
          <xdr:colOff>546100</xdr:colOff>
          <xdr:row>242</xdr:row>
          <xdr:rowOff>57150</xdr:rowOff>
        </xdr:to>
        <xdr:sp macro="" textlink="">
          <xdr:nvSpPr>
            <xdr:cNvPr id="9297" name="Opt1_10_2" hidden="1">
              <a:extLst>
                <a:ext uri="{63B3BB69-23CF-44E3-9099-C40C66FF867C}">
                  <a14:compatExt spid="_x0000_s92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245</xdr:row>
          <xdr:rowOff>38100</xdr:rowOff>
        </xdr:from>
        <xdr:to>
          <xdr:col>2</xdr:col>
          <xdr:colOff>539750</xdr:colOff>
          <xdr:row>246</xdr:row>
          <xdr:rowOff>69850</xdr:rowOff>
        </xdr:to>
        <xdr:sp macro="" textlink="">
          <xdr:nvSpPr>
            <xdr:cNvPr id="9298" name="Opt1_10_3" hidden="1">
              <a:extLst>
                <a:ext uri="{63B3BB69-23CF-44E3-9099-C40C66FF867C}">
                  <a14:compatExt spid="_x0000_s92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249</xdr:row>
          <xdr:rowOff>76200</xdr:rowOff>
        </xdr:from>
        <xdr:to>
          <xdr:col>2</xdr:col>
          <xdr:colOff>546100</xdr:colOff>
          <xdr:row>249</xdr:row>
          <xdr:rowOff>260350</xdr:rowOff>
        </xdr:to>
        <xdr:sp macro="" textlink="">
          <xdr:nvSpPr>
            <xdr:cNvPr id="9299" name="Opt1_10_4" hidden="1">
              <a:extLst>
                <a:ext uri="{63B3BB69-23CF-44E3-9099-C40C66FF867C}">
                  <a14:compatExt spid="_x0000_s92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253</xdr:row>
          <xdr:rowOff>0</xdr:rowOff>
        </xdr:from>
        <xdr:to>
          <xdr:col>2</xdr:col>
          <xdr:colOff>546100</xdr:colOff>
          <xdr:row>254</xdr:row>
          <xdr:rowOff>31750</xdr:rowOff>
        </xdr:to>
        <xdr:sp macro="" textlink="">
          <xdr:nvSpPr>
            <xdr:cNvPr id="9300" name="Opt1_10_5" hidden="1">
              <a:extLst>
                <a:ext uri="{63B3BB69-23CF-44E3-9099-C40C66FF867C}">
                  <a14:compatExt spid="_x0000_s9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264</xdr:row>
          <xdr:rowOff>279400</xdr:rowOff>
        </xdr:from>
        <xdr:to>
          <xdr:col>2</xdr:col>
          <xdr:colOff>539750</xdr:colOff>
          <xdr:row>265</xdr:row>
          <xdr:rowOff>165100</xdr:rowOff>
        </xdr:to>
        <xdr:sp macro="" textlink="">
          <xdr:nvSpPr>
            <xdr:cNvPr id="9301" name="Opt1_11_1" hidden="1">
              <a:extLst>
                <a:ext uri="{63B3BB69-23CF-44E3-9099-C40C66FF867C}">
                  <a14:compatExt spid="_x0000_s93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280</xdr:row>
          <xdr:rowOff>50800</xdr:rowOff>
        </xdr:from>
        <xdr:to>
          <xdr:col>2</xdr:col>
          <xdr:colOff>527050</xdr:colOff>
          <xdr:row>280</xdr:row>
          <xdr:rowOff>234950</xdr:rowOff>
        </xdr:to>
        <xdr:sp macro="" textlink="">
          <xdr:nvSpPr>
            <xdr:cNvPr id="9302" name="Opt1_11_2" hidden="1">
              <a:extLst>
                <a:ext uri="{63B3BB69-23CF-44E3-9099-C40C66FF867C}">
                  <a14:compatExt spid="_x0000_s93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296</xdr:row>
          <xdr:rowOff>38100</xdr:rowOff>
        </xdr:from>
        <xdr:to>
          <xdr:col>2</xdr:col>
          <xdr:colOff>546100</xdr:colOff>
          <xdr:row>296</xdr:row>
          <xdr:rowOff>222250</xdr:rowOff>
        </xdr:to>
        <xdr:sp macro="" textlink="">
          <xdr:nvSpPr>
            <xdr:cNvPr id="9303" name="Opt1_11_3" hidden="1">
              <a:extLst>
                <a:ext uri="{63B3BB69-23CF-44E3-9099-C40C66FF867C}">
                  <a14:compatExt spid="_x0000_s93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312</xdr:row>
          <xdr:rowOff>31750</xdr:rowOff>
        </xdr:from>
        <xdr:to>
          <xdr:col>2</xdr:col>
          <xdr:colOff>539750</xdr:colOff>
          <xdr:row>312</xdr:row>
          <xdr:rowOff>215900</xdr:rowOff>
        </xdr:to>
        <xdr:sp macro="" textlink="">
          <xdr:nvSpPr>
            <xdr:cNvPr id="9304" name="Opt1_11_4" hidden="1">
              <a:extLst>
                <a:ext uri="{63B3BB69-23CF-44E3-9099-C40C66FF867C}">
                  <a14:compatExt spid="_x0000_s93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328</xdr:row>
          <xdr:rowOff>165100</xdr:rowOff>
        </xdr:from>
        <xdr:to>
          <xdr:col>2</xdr:col>
          <xdr:colOff>527050</xdr:colOff>
          <xdr:row>328</xdr:row>
          <xdr:rowOff>349250</xdr:rowOff>
        </xdr:to>
        <xdr:sp macro="" textlink="">
          <xdr:nvSpPr>
            <xdr:cNvPr id="9305" name="Opt1_11_5" hidden="1">
              <a:extLst>
                <a:ext uri="{63B3BB69-23CF-44E3-9099-C40C66FF867C}">
                  <a14:compatExt spid="_x0000_s93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237</xdr:row>
          <xdr:rowOff>0</xdr:rowOff>
        </xdr:from>
        <xdr:to>
          <xdr:col>6</xdr:col>
          <xdr:colOff>527050</xdr:colOff>
          <xdr:row>237</xdr:row>
          <xdr:rowOff>184150</xdr:rowOff>
        </xdr:to>
        <xdr:sp macro="" textlink="">
          <xdr:nvSpPr>
            <xdr:cNvPr id="9306" name="Opt1_10_2_1" hidden="1">
              <a:extLst>
                <a:ext uri="{63B3BB69-23CF-44E3-9099-C40C66FF867C}">
                  <a14:compatExt spid="_x0000_s93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241</xdr:row>
          <xdr:rowOff>0</xdr:rowOff>
        </xdr:from>
        <xdr:to>
          <xdr:col>6</xdr:col>
          <xdr:colOff>520700</xdr:colOff>
          <xdr:row>242</xdr:row>
          <xdr:rowOff>38100</xdr:rowOff>
        </xdr:to>
        <xdr:sp macro="" textlink="">
          <xdr:nvSpPr>
            <xdr:cNvPr id="9307" name="Opt1_10_2_2" hidden="1">
              <a:extLst>
                <a:ext uri="{63B3BB69-23CF-44E3-9099-C40C66FF867C}">
                  <a14:compatExt spid="_x0000_s93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374650</xdr:colOff>
          <xdr:row>245</xdr:row>
          <xdr:rowOff>19050</xdr:rowOff>
        </xdr:from>
        <xdr:to>
          <xdr:col>6</xdr:col>
          <xdr:colOff>539750</xdr:colOff>
          <xdr:row>246</xdr:row>
          <xdr:rowOff>38100</xdr:rowOff>
        </xdr:to>
        <xdr:sp macro="" textlink="">
          <xdr:nvSpPr>
            <xdr:cNvPr id="9308" name="Opt1_10_2_3" hidden="1">
              <a:extLst>
                <a:ext uri="{63B3BB69-23CF-44E3-9099-C40C66FF867C}">
                  <a14:compatExt spid="_x0000_s93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381000</xdr:colOff>
          <xdr:row>249</xdr:row>
          <xdr:rowOff>69850</xdr:rowOff>
        </xdr:from>
        <xdr:to>
          <xdr:col>6</xdr:col>
          <xdr:colOff>546100</xdr:colOff>
          <xdr:row>249</xdr:row>
          <xdr:rowOff>241300</xdr:rowOff>
        </xdr:to>
        <xdr:sp macro="" textlink="">
          <xdr:nvSpPr>
            <xdr:cNvPr id="9309" name="Opt1_10_2_4" hidden="1">
              <a:extLst>
                <a:ext uri="{63B3BB69-23CF-44E3-9099-C40C66FF867C}">
                  <a14:compatExt spid="_x0000_s93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253</xdr:row>
          <xdr:rowOff>0</xdr:rowOff>
        </xdr:from>
        <xdr:to>
          <xdr:col>6</xdr:col>
          <xdr:colOff>527050</xdr:colOff>
          <xdr:row>254</xdr:row>
          <xdr:rowOff>19050</xdr:rowOff>
        </xdr:to>
        <xdr:sp macro="" textlink="">
          <xdr:nvSpPr>
            <xdr:cNvPr id="9310" name="Opt1_10_2_5" hidden="1">
              <a:extLst>
                <a:ext uri="{63B3BB69-23CF-44E3-9099-C40C66FF867C}">
                  <a14:compatExt spid="_x0000_s93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264</xdr:row>
          <xdr:rowOff>285750</xdr:rowOff>
        </xdr:from>
        <xdr:to>
          <xdr:col>6</xdr:col>
          <xdr:colOff>527050</xdr:colOff>
          <xdr:row>265</xdr:row>
          <xdr:rowOff>171450</xdr:rowOff>
        </xdr:to>
        <xdr:sp macro="" textlink="">
          <xdr:nvSpPr>
            <xdr:cNvPr id="9311" name="Opt1_11_2_1" hidden="1">
              <a:extLst>
                <a:ext uri="{63B3BB69-23CF-44E3-9099-C40C66FF867C}">
                  <a14:compatExt spid="_x0000_s93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336550</xdr:colOff>
          <xdr:row>280</xdr:row>
          <xdr:rowOff>50800</xdr:rowOff>
        </xdr:from>
        <xdr:to>
          <xdr:col>6</xdr:col>
          <xdr:colOff>495300</xdr:colOff>
          <xdr:row>280</xdr:row>
          <xdr:rowOff>234950</xdr:rowOff>
        </xdr:to>
        <xdr:sp macro="" textlink="">
          <xdr:nvSpPr>
            <xdr:cNvPr id="9312" name="Opt1_11_2_2" hidden="1">
              <a:extLst>
                <a:ext uri="{63B3BB69-23CF-44E3-9099-C40C66FF867C}">
                  <a14:compatExt spid="_x0000_s93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296</xdr:row>
          <xdr:rowOff>31750</xdr:rowOff>
        </xdr:from>
        <xdr:to>
          <xdr:col>6</xdr:col>
          <xdr:colOff>520700</xdr:colOff>
          <xdr:row>296</xdr:row>
          <xdr:rowOff>215900</xdr:rowOff>
        </xdr:to>
        <xdr:sp macro="" textlink="">
          <xdr:nvSpPr>
            <xdr:cNvPr id="9313" name="Opt1_11_2_3" hidden="1">
              <a:extLst>
                <a:ext uri="{63B3BB69-23CF-44E3-9099-C40C66FF867C}">
                  <a14:compatExt spid="_x0000_s93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312</xdr:row>
          <xdr:rowOff>38100</xdr:rowOff>
        </xdr:from>
        <xdr:to>
          <xdr:col>6</xdr:col>
          <xdr:colOff>527050</xdr:colOff>
          <xdr:row>312</xdr:row>
          <xdr:rowOff>222250</xdr:rowOff>
        </xdr:to>
        <xdr:sp macro="" textlink="">
          <xdr:nvSpPr>
            <xdr:cNvPr id="9314" name="Opt1_11_2_4" hidden="1">
              <a:extLst>
                <a:ext uri="{63B3BB69-23CF-44E3-9099-C40C66FF867C}">
                  <a14:compatExt spid="_x0000_s93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336550</xdr:colOff>
          <xdr:row>328</xdr:row>
          <xdr:rowOff>146050</xdr:rowOff>
        </xdr:from>
        <xdr:to>
          <xdr:col>6</xdr:col>
          <xdr:colOff>501650</xdr:colOff>
          <xdr:row>328</xdr:row>
          <xdr:rowOff>330200</xdr:rowOff>
        </xdr:to>
        <xdr:sp macro="" textlink="">
          <xdr:nvSpPr>
            <xdr:cNvPr id="9315" name="Opt1_11_2_5" hidden="1">
              <a:extLst>
                <a:ext uri="{63B3BB69-23CF-44E3-9099-C40C66FF867C}">
                  <a14:compatExt spid="_x0000_s93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774700</xdr:colOff>
          <xdr:row>7</xdr:row>
          <xdr:rowOff>304800</xdr:rowOff>
        </xdr:from>
        <xdr:to>
          <xdr:col>1</xdr:col>
          <xdr:colOff>939800</xdr:colOff>
          <xdr:row>7</xdr:row>
          <xdr:rowOff>488950</xdr:rowOff>
        </xdr:to>
        <xdr:sp macro="" textlink="">
          <xdr:nvSpPr>
            <xdr:cNvPr id="23553" name="Opt2_1_1" hidden="1">
              <a:extLst>
                <a:ext uri="{63B3BB69-23CF-44E3-9099-C40C66FF867C}">
                  <a14:compatExt spid="_x0000_s23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11</xdr:row>
          <xdr:rowOff>0</xdr:rowOff>
        </xdr:from>
        <xdr:to>
          <xdr:col>1</xdr:col>
          <xdr:colOff>933450</xdr:colOff>
          <xdr:row>11</xdr:row>
          <xdr:rowOff>184150</xdr:rowOff>
        </xdr:to>
        <xdr:sp macro="" textlink="">
          <xdr:nvSpPr>
            <xdr:cNvPr id="23554" name="OptionButton1" hidden="1">
              <a:extLst>
                <a:ext uri="{63B3BB69-23CF-44E3-9099-C40C66FF867C}">
                  <a14:compatExt spid="_x0000_s23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15</xdr:row>
          <xdr:rowOff>0</xdr:rowOff>
        </xdr:from>
        <xdr:to>
          <xdr:col>1</xdr:col>
          <xdr:colOff>939800</xdr:colOff>
          <xdr:row>15</xdr:row>
          <xdr:rowOff>184150</xdr:rowOff>
        </xdr:to>
        <xdr:sp macro="" textlink="">
          <xdr:nvSpPr>
            <xdr:cNvPr id="23555" name="OptionButton2" hidden="1">
              <a:extLst>
                <a:ext uri="{63B3BB69-23CF-44E3-9099-C40C66FF867C}">
                  <a14:compatExt spid="_x0000_s235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19</xdr:row>
          <xdr:rowOff>0</xdr:rowOff>
        </xdr:from>
        <xdr:to>
          <xdr:col>1</xdr:col>
          <xdr:colOff>939800</xdr:colOff>
          <xdr:row>19</xdr:row>
          <xdr:rowOff>184150</xdr:rowOff>
        </xdr:to>
        <xdr:sp macro="" textlink="">
          <xdr:nvSpPr>
            <xdr:cNvPr id="23556" name="OptionButton3" hidden="1">
              <a:extLst>
                <a:ext uri="{63B3BB69-23CF-44E3-9099-C40C66FF867C}">
                  <a14:compatExt spid="_x0000_s23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23</xdr:row>
          <xdr:rowOff>0</xdr:rowOff>
        </xdr:from>
        <xdr:to>
          <xdr:col>1</xdr:col>
          <xdr:colOff>939800</xdr:colOff>
          <xdr:row>23</xdr:row>
          <xdr:rowOff>184150</xdr:rowOff>
        </xdr:to>
        <xdr:sp macro="" textlink="">
          <xdr:nvSpPr>
            <xdr:cNvPr id="23557" name="OptionButton4" hidden="1">
              <a:extLst>
                <a:ext uri="{63B3BB69-23CF-44E3-9099-C40C66FF867C}">
                  <a14:compatExt spid="_x0000_s235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7</xdr:row>
          <xdr:rowOff>304800</xdr:rowOff>
        </xdr:from>
        <xdr:to>
          <xdr:col>5</xdr:col>
          <xdr:colOff>939800</xdr:colOff>
          <xdr:row>7</xdr:row>
          <xdr:rowOff>488950</xdr:rowOff>
        </xdr:to>
        <xdr:sp macro="" textlink="">
          <xdr:nvSpPr>
            <xdr:cNvPr id="23558" name="OptionButton5" hidden="1">
              <a:extLst>
                <a:ext uri="{63B3BB69-23CF-44E3-9099-C40C66FF867C}">
                  <a14:compatExt spid="_x0000_s235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781050</xdr:colOff>
          <xdr:row>11</xdr:row>
          <xdr:rowOff>0</xdr:rowOff>
        </xdr:from>
        <xdr:to>
          <xdr:col>5</xdr:col>
          <xdr:colOff>939800</xdr:colOff>
          <xdr:row>11</xdr:row>
          <xdr:rowOff>184150</xdr:rowOff>
        </xdr:to>
        <xdr:sp macro="" textlink="">
          <xdr:nvSpPr>
            <xdr:cNvPr id="23559" name="OptionButton6" hidden="1">
              <a:extLst>
                <a:ext uri="{63B3BB69-23CF-44E3-9099-C40C66FF867C}">
                  <a14:compatExt spid="_x0000_s235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15</xdr:row>
          <xdr:rowOff>31750</xdr:rowOff>
        </xdr:from>
        <xdr:to>
          <xdr:col>5</xdr:col>
          <xdr:colOff>920750</xdr:colOff>
          <xdr:row>15</xdr:row>
          <xdr:rowOff>215900</xdr:rowOff>
        </xdr:to>
        <xdr:sp macro="" textlink="">
          <xdr:nvSpPr>
            <xdr:cNvPr id="23560" name="OptionButton7" hidden="1">
              <a:extLst>
                <a:ext uri="{63B3BB69-23CF-44E3-9099-C40C66FF867C}">
                  <a14:compatExt spid="_x0000_s235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755650</xdr:colOff>
          <xdr:row>19</xdr:row>
          <xdr:rowOff>0</xdr:rowOff>
        </xdr:from>
        <xdr:to>
          <xdr:col>5</xdr:col>
          <xdr:colOff>920750</xdr:colOff>
          <xdr:row>19</xdr:row>
          <xdr:rowOff>184150</xdr:rowOff>
        </xdr:to>
        <xdr:sp macro="" textlink="">
          <xdr:nvSpPr>
            <xdr:cNvPr id="23561" name="OptionButton8" hidden="1">
              <a:extLst>
                <a:ext uri="{63B3BB69-23CF-44E3-9099-C40C66FF867C}">
                  <a14:compatExt spid="_x0000_s235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23</xdr:row>
          <xdr:rowOff>0</xdr:rowOff>
        </xdr:from>
        <xdr:to>
          <xdr:col>5</xdr:col>
          <xdr:colOff>927100</xdr:colOff>
          <xdr:row>23</xdr:row>
          <xdr:rowOff>184150</xdr:rowOff>
        </xdr:to>
        <xdr:sp macro="" textlink="">
          <xdr:nvSpPr>
            <xdr:cNvPr id="23562" name="OptionButton9" hidden="1">
              <a:extLst>
                <a:ext uri="{63B3BB69-23CF-44E3-9099-C40C66FF867C}">
                  <a14:compatExt spid="_x0000_s235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28</xdr:row>
          <xdr:rowOff>279400</xdr:rowOff>
        </xdr:from>
        <xdr:to>
          <xdr:col>1</xdr:col>
          <xdr:colOff>933450</xdr:colOff>
          <xdr:row>29</xdr:row>
          <xdr:rowOff>133350</xdr:rowOff>
        </xdr:to>
        <xdr:sp macro="" textlink="">
          <xdr:nvSpPr>
            <xdr:cNvPr id="23563" name="OptionButton10" hidden="1">
              <a:extLst>
                <a:ext uri="{63B3BB69-23CF-44E3-9099-C40C66FF867C}">
                  <a14:compatExt spid="_x0000_s235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32</xdr:row>
          <xdr:rowOff>0</xdr:rowOff>
        </xdr:from>
        <xdr:to>
          <xdr:col>1</xdr:col>
          <xdr:colOff>958850</xdr:colOff>
          <xdr:row>32</xdr:row>
          <xdr:rowOff>184150</xdr:rowOff>
        </xdr:to>
        <xdr:sp macro="" textlink="">
          <xdr:nvSpPr>
            <xdr:cNvPr id="23564" name="OptionButton11" hidden="1">
              <a:extLst>
                <a:ext uri="{63B3BB69-23CF-44E3-9099-C40C66FF867C}">
                  <a14:compatExt spid="_x0000_s235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36</xdr:row>
          <xdr:rowOff>0</xdr:rowOff>
        </xdr:from>
        <xdr:to>
          <xdr:col>1</xdr:col>
          <xdr:colOff>965200</xdr:colOff>
          <xdr:row>36</xdr:row>
          <xdr:rowOff>184150</xdr:rowOff>
        </xdr:to>
        <xdr:sp macro="" textlink="">
          <xdr:nvSpPr>
            <xdr:cNvPr id="23565" name="OptionButton12" hidden="1">
              <a:extLst>
                <a:ext uri="{63B3BB69-23CF-44E3-9099-C40C66FF867C}">
                  <a14:compatExt spid="_x0000_s235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40</xdr:row>
          <xdr:rowOff>0</xdr:rowOff>
        </xdr:from>
        <xdr:to>
          <xdr:col>1</xdr:col>
          <xdr:colOff>965200</xdr:colOff>
          <xdr:row>40</xdr:row>
          <xdr:rowOff>184150</xdr:rowOff>
        </xdr:to>
        <xdr:sp macro="" textlink="">
          <xdr:nvSpPr>
            <xdr:cNvPr id="23566" name="OptionButton13" hidden="1">
              <a:extLst>
                <a:ext uri="{63B3BB69-23CF-44E3-9099-C40C66FF867C}">
                  <a14:compatExt spid="_x0000_s235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44</xdr:row>
          <xdr:rowOff>95250</xdr:rowOff>
        </xdr:from>
        <xdr:to>
          <xdr:col>1</xdr:col>
          <xdr:colOff>958850</xdr:colOff>
          <xdr:row>44</xdr:row>
          <xdr:rowOff>279400</xdr:rowOff>
        </xdr:to>
        <xdr:sp macro="" textlink="">
          <xdr:nvSpPr>
            <xdr:cNvPr id="23567" name="OptionButton14" hidden="1">
              <a:extLst>
                <a:ext uri="{63B3BB69-23CF-44E3-9099-C40C66FF867C}">
                  <a14:compatExt spid="_x0000_s235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49</xdr:row>
          <xdr:rowOff>565150</xdr:rowOff>
        </xdr:from>
        <xdr:to>
          <xdr:col>1</xdr:col>
          <xdr:colOff>946150</xdr:colOff>
          <xdr:row>49</xdr:row>
          <xdr:rowOff>749300</xdr:rowOff>
        </xdr:to>
        <xdr:sp macro="" textlink="">
          <xdr:nvSpPr>
            <xdr:cNvPr id="23568" name="OptionButton15" hidden="1">
              <a:extLst>
                <a:ext uri="{63B3BB69-23CF-44E3-9099-C40C66FF867C}">
                  <a14:compatExt spid="_x0000_s235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52</xdr:row>
          <xdr:rowOff>279400</xdr:rowOff>
        </xdr:from>
        <xdr:to>
          <xdr:col>1</xdr:col>
          <xdr:colOff>965200</xdr:colOff>
          <xdr:row>52</xdr:row>
          <xdr:rowOff>463550</xdr:rowOff>
        </xdr:to>
        <xdr:sp macro="" textlink="">
          <xdr:nvSpPr>
            <xdr:cNvPr id="23569" name="OptionButton16" hidden="1">
              <a:extLst>
                <a:ext uri="{63B3BB69-23CF-44E3-9099-C40C66FF867C}">
                  <a14:compatExt spid="_x0000_s235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55</xdr:row>
          <xdr:rowOff>279400</xdr:rowOff>
        </xdr:from>
        <xdr:to>
          <xdr:col>1</xdr:col>
          <xdr:colOff>965200</xdr:colOff>
          <xdr:row>55</xdr:row>
          <xdr:rowOff>463550</xdr:rowOff>
        </xdr:to>
        <xdr:sp macro="" textlink="">
          <xdr:nvSpPr>
            <xdr:cNvPr id="23570" name="OptionButton17" hidden="1">
              <a:extLst>
                <a:ext uri="{63B3BB69-23CF-44E3-9099-C40C66FF867C}">
                  <a14:compatExt spid="_x0000_s235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58</xdr:row>
          <xdr:rowOff>171450</xdr:rowOff>
        </xdr:from>
        <xdr:to>
          <xdr:col>1</xdr:col>
          <xdr:colOff>946150</xdr:colOff>
          <xdr:row>58</xdr:row>
          <xdr:rowOff>355600</xdr:rowOff>
        </xdr:to>
        <xdr:sp macro="" textlink="">
          <xdr:nvSpPr>
            <xdr:cNvPr id="23571" name="OptionButton18" hidden="1">
              <a:extLst>
                <a:ext uri="{63B3BB69-23CF-44E3-9099-C40C66FF867C}">
                  <a14:compatExt spid="_x0000_s235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59</xdr:row>
          <xdr:rowOff>171450</xdr:rowOff>
        </xdr:from>
        <xdr:to>
          <xdr:col>1</xdr:col>
          <xdr:colOff>939800</xdr:colOff>
          <xdr:row>59</xdr:row>
          <xdr:rowOff>355600</xdr:rowOff>
        </xdr:to>
        <xdr:sp macro="" textlink="">
          <xdr:nvSpPr>
            <xdr:cNvPr id="23572" name="OptionButton19" hidden="1">
              <a:extLst>
                <a:ext uri="{63B3BB69-23CF-44E3-9099-C40C66FF867C}">
                  <a14:compatExt spid="_x0000_s235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62</xdr:row>
          <xdr:rowOff>628650</xdr:rowOff>
        </xdr:from>
        <xdr:to>
          <xdr:col>1</xdr:col>
          <xdr:colOff>946150</xdr:colOff>
          <xdr:row>62</xdr:row>
          <xdr:rowOff>812800</xdr:rowOff>
        </xdr:to>
        <xdr:sp macro="" textlink="">
          <xdr:nvSpPr>
            <xdr:cNvPr id="23573" name="OptionButton20" hidden="1">
              <a:extLst>
                <a:ext uri="{63B3BB69-23CF-44E3-9099-C40C66FF867C}">
                  <a14:compatExt spid="_x0000_s235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762000</xdr:colOff>
          <xdr:row>65</xdr:row>
          <xdr:rowOff>260350</xdr:rowOff>
        </xdr:from>
        <xdr:to>
          <xdr:col>1</xdr:col>
          <xdr:colOff>927100</xdr:colOff>
          <xdr:row>65</xdr:row>
          <xdr:rowOff>444500</xdr:rowOff>
        </xdr:to>
        <xdr:sp macro="" textlink="">
          <xdr:nvSpPr>
            <xdr:cNvPr id="23574" name="OptionButton21" hidden="1">
              <a:extLst>
                <a:ext uri="{63B3BB69-23CF-44E3-9099-C40C66FF867C}">
                  <a14:compatExt spid="_x0000_s235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68</xdr:row>
          <xdr:rowOff>336550</xdr:rowOff>
        </xdr:from>
        <xdr:to>
          <xdr:col>1</xdr:col>
          <xdr:colOff>952500</xdr:colOff>
          <xdr:row>69</xdr:row>
          <xdr:rowOff>25400</xdr:rowOff>
        </xdr:to>
        <xdr:sp macro="" textlink="">
          <xdr:nvSpPr>
            <xdr:cNvPr id="23575" name="OptionButton22" hidden="1">
              <a:extLst>
                <a:ext uri="{63B3BB69-23CF-44E3-9099-C40C66FF867C}">
                  <a14:compatExt spid="_x0000_s235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71</xdr:row>
          <xdr:rowOff>584200</xdr:rowOff>
        </xdr:from>
        <xdr:to>
          <xdr:col>1</xdr:col>
          <xdr:colOff>965200</xdr:colOff>
          <xdr:row>71</xdr:row>
          <xdr:rowOff>768350</xdr:rowOff>
        </xdr:to>
        <xdr:sp macro="" textlink="">
          <xdr:nvSpPr>
            <xdr:cNvPr id="23576" name="OptionButton23" hidden="1">
              <a:extLst>
                <a:ext uri="{63B3BB69-23CF-44E3-9099-C40C66FF867C}">
                  <a14:compatExt spid="_x0000_s235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781050</xdr:colOff>
          <xdr:row>74</xdr:row>
          <xdr:rowOff>190500</xdr:rowOff>
        </xdr:from>
        <xdr:to>
          <xdr:col>1</xdr:col>
          <xdr:colOff>946150</xdr:colOff>
          <xdr:row>75</xdr:row>
          <xdr:rowOff>44450</xdr:rowOff>
        </xdr:to>
        <xdr:sp macro="" textlink="">
          <xdr:nvSpPr>
            <xdr:cNvPr id="23577" name="OptionButton24" hidden="1">
              <a:extLst>
                <a:ext uri="{63B3BB69-23CF-44E3-9099-C40C66FF867C}">
                  <a14:compatExt spid="_x0000_s23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762000</xdr:colOff>
          <xdr:row>78</xdr:row>
          <xdr:rowOff>647700</xdr:rowOff>
        </xdr:from>
        <xdr:to>
          <xdr:col>1</xdr:col>
          <xdr:colOff>920750</xdr:colOff>
          <xdr:row>78</xdr:row>
          <xdr:rowOff>831850</xdr:rowOff>
        </xdr:to>
        <xdr:sp macro="" textlink="">
          <xdr:nvSpPr>
            <xdr:cNvPr id="23578" name="OptionButton25" hidden="1">
              <a:extLst>
                <a:ext uri="{63B3BB69-23CF-44E3-9099-C40C66FF867C}">
                  <a14:compatExt spid="_x0000_s235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81</xdr:row>
          <xdr:rowOff>279400</xdr:rowOff>
        </xdr:from>
        <xdr:to>
          <xdr:col>1</xdr:col>
          <xdr:colOff>939800</xdr:colOff>
          <xdr:row>81</xdr:row>
          <xdr:rowOff>463550</xdr:rowOff>
        </xdr:to>
        <xdr:sp macro="" textlink="">
          <xdr:nvSpPr>
            <xdr:cNvPr id="23579" name="OptionButton26" hidden="1">
              <a:extLst>
                <a:ext uri="{63B3BB69-23CF-44E3-9099-C40C66FF867C}">
                  <a14:compatExt spid="_x0000_s235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762000</xdr:colOff>
          <xdr:row>84</xdr:row>
          <xdr:rowOff>361950</xdr:rowOff>
        </xdr:from>
        <xdr:to>
          <xdr:col>1</xdr:col>
          <xdr:colOff>927100</xdr:colOff>
          <xdr:row>85</xdr:row>
          <xdr:rowOff>50800</xdr:rowOff>
        </xdr:to>
        <xdr:sp macro="" textlink="">
          <xdr:nvSpPr>
            <xdr:cNvPr id="23580" name="OptionButton27" hidden="1">
              <a:extLst>
                <a:ext uri="{63B3BB69-23CF-44E3-9099-C40C66FF867C}">
                  <a14:compatExt spid="_x0000_s235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762000</xdr:colOff>
          <xdr:row>84</xdr:row>
          <xdr:rowOff>361950</xdr:rowOff>
        </xdr:from>
        <xdr:to>
          <xdr:col>1</xdr:col>
          <xdr:colOff>927100</xdr:colOff>
          <xdr:row>85</xdr:row>
          <xdr:rowOff>50800</xdr:rowOff>
        </xdr:to>
        <xdr:sp macro="" textlink="">
          <xdr:nvSpPr>
            <xdr:cNvPr id="23581" name="OptionButton28" hidden="1">
              <a:extLst>
                <a:ext uri="{63B3BB69-23CF-44E3-9099-C40C66FF867C}">
                  <a14:compatExt spid="_x0000_s235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755650</xdr:colOff>
          <xdr:row>87</xdr:row>
          <xdr:rowOff>603250</xdr:rowOff>
        </xdr:from>
        <xdr:to>
          <xdr:col>1</xdr:col>
          <xdr:colOff>920750</xdr:colOff>
          <xdr:row>87</xdr:row>
          <xdr:rowOff>787400</xdr:rowOff>
        </xdr:to>
        <xdr:sp macro="" textlink="">
          <xdr:nvSpPr>
            <xdr:cNvPr id="23582" name="OptionButton29" hidden="1">
              <a:extLst>
                <a:ext uri="{63B3BB69-23CF-44E3-9099-C40C66FF867C}">
                  <a14:compatExt spid="_x0000_s235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762000</xdr:colOff>
          <xdr:row>90</xdr:row>
          <xdr:rowOff>127000</xdr:rowOff>
        </xdr:from>
        <xdr:to>
          <xdr:col>1</xdr:col>
          <xdr:colOff>927100</xdr:colOff>
          <xdr:row>90</xdr:row>
          <xdr:rowOff>311150</xdr:rowOff>
        </xdr:to>
        <xdr:sp macro="" textlink="">
          <xdr:nvSpPr>
            <xdr:cNvPr id="23583" name="OptionButton30" hidden="1">
              <a:extLst>
                <a:ext uri="{63B3BB69-23CF-44E3-9099-C40C66FF867C}">
                  <a14:compatExt spid="_x0000_s235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762000</xdr:colOff>
          <xdr:row>94</xdr:row>
          <xdr:rowOff>279400</xdr:rowOff>
        </xdr:from>
        <xdr:to>
          <xdr:col>1</xdr:col>
          <xdr:colOff>927100</xdr:colOff>
          <xdr:row>94</xdr:row>
          <xdr:rowOff>463550</xdr:rowOff>
        </xdr:to>
        <xdr:sp macro="" textlink="">
          <xdr:nvSpPr>
            <xdr:cNvPr id="23584" name="OptionButton31" hidden="1">
              <a:extLst>
                <a:ext uri="{63B3BB69-23CF-44E3-9099-C40C66FF867C}">
                  <a14:compatExt spid="_x0000_s235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762000</xdr:colOff>
          <xdr:row>97</xdr:row>
          <xdr:rowOff>279400</xdr:rowOff>
        </xdr:from>
        <xdr:to>
          <xdr:col>1</xdr:col>
          <xdr:colOff>927100</xdr:colOff>
          <xdr:row>98</xdr:row>
          <xdr:rowOff>133350</xdr:rowOff>
        </xdr:to>
        <xdr:sp macro="" textlink="">
          <xdr:nvSpPr>
            <xdr:cNvPr id="23585" name="OptionButton32" hidden="1">
              <a:extLst>
                <a:ext uri="{63B3BB69-23CF-44E3-9099-C40C66FF867C}">
                  <a14:compatExt spid="_x0000_s235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762000</xdr:colOff>
          <xdr:row>100</xdr:row>
          <xdr:rowOff>279400</xdr:rowOff>
        </xdr:from>
        <xdr:to>
          <xdr:col>1</xdr:col>
          <xdr:colOff>920750</xdr:colOff>
          <xdr:row>101</xdr:row>
          <xdr:rowOff>133350</xdr:rowOff>
        </xdr:to>
        <xdr:sp macro="" textlink="">
          <xdr:nvSpPr>
            <xdr:cNvPr id="23586" name="OptionButton33" hidden="1">
              <a:extLst>
                <a:ext uri="{63B3BB69-23CF-44E3-9099-C40C66FF867C}">
                  <a14:compatExt spid="_x0000_s235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103</xdr:row>
          <xdr:rowOff>336550</xdr:rowOff>
        </xdr:from>
        <xdr:to>
          <xdr:col>1</xdr:col>
          <xdr:colOff>939800</xdr:colOff>
          <xdr:row>104</xdr:row>
          <xdr:rowOff>25400</xdr:rowOff>
        </xdr:to>
        <xdr:sp macro="" textlink="">
          <xdr:nvSpPr>
            <xdr:cNvPr id="23587" name="OptionButton34" hidden="1">
              <a:extLst>
                <a:ext uri="{63B3BB69-23CF-44E3-9099-C40C66FF867C}">
                  <a14:compatExt spid="_x0000_s235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106</xdr:row>
          <xdr:rowOff>266700</xdr:rowOff>
        </xdr:from>
        <xdr:to>
          <xdr:col>1</xdr:col>
          <xdr:colOff>958850</xdr:colOff>
          <xdr:row>107</xdr:row>
          <xdr:rowOff>120650</xdr:rowOff>
        </xdr:to>
        <xdr:sp macro="" textlink="">
          <xdr:nvSpPr>
            <xdr:cNvPr id="23588" name="OptionButton35" hidden="1">
              <a:extLst>
                <a:ext uri="{63B3BB69-23CF-44E3-9099-C40C66FF867C}">
                  <a14:compatExt spid="_x0000_s235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28</xdr:row>
          <xdr:rowOff>279400</xdr:rowOff>
        </xdr:from>
        <xdr:to>
          <xdr:col>5</xdr:col>
          <xdr:colOff>939800</xdr:colOff>
          <xdr:row>29</xdr:row>
          <xdr:rowOff>133350</xdr:rowOff>
        </xdr:to>
        <xdr:sp macro="" textlink="">
          <xdr:nvSpPr>
            <xdr:cNvPr id="23589" name="OptionButton36" hidden="1">
              <a:extLst>
                <a:ext uri="{63B3BB69-23CF-44E3-9099-C40C66FF867C}">
                  <a14:compatExt spid="_x0000_s235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32</xdr:row>
          <xdr:rowOff>0</xdr:rowOff>
        </xdr:from>
        <xdr:to>
          <xdr:col>5</xdr:col>
          <xdr:colOff>920750</xdr:colOff>
          <xdr:row>32</xdr:row>
          <xdr:rowOff>184150</xdr:rowOff>
        </xdr:to>
        <xdr:sp macro="" textlink="">
          <xdr:nvSpPr>
            <xdr:cNvPr id="23590" name="OptionButton37" hidden="1">
              <a:extLst>
                <a:ext uri="{63B3BB69-23CF-44E3-9099-C40C66FF867C}">
                  <a14:compatExt spid="_x0000_s235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800100</xdr:colOff>
          <xdr:row>36</xdr:row>
          <xdr:rowOff>0</xdr:rowOff>
        </xdr:from>
        <xdr:to>
          <xdr:col>5</xdr:col>
          <xdr:colOff>958850</xdr:colOff>
          <xdr:row>36</xdr:row>
          <xdr:rowOff>184150</xdr:rowOff>
        </xdr:to>
        <xdr:sp macro="" textlink="">
          <xdr:nvSpPr>
            <xdr:cNvPr id="23591" name="OptionButton38" hidden="1">
              <a:extLst>
                <a:ext uri="{63B3BB69-23CF-44E3-9099-C40C66FF867C}">
                  <a14:compatExt spid="_x0000_s235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40</xdr:row>
          <xdr:rowOff>0</xdr:rowOff>
        </xdr:from>
        <xdr:to>
          <xdr:col>5</xdr:col>
          <xdr:colOff>927100</xdr:colOff>
          <xdr:row>40</xdr:row>
          <xdr:rowOff>184150</xdr:rowOff>
        </xdr:to>
        <xdr:sp macro="" textlink="">
          <xdr:nvSpPr>
            <xdr:cNvPr id="23592" name="OptionButton39" hidden="1">
              <a:extLst>
                <a:ext uri="{63B3BB69-23CF-44E3-9099-C40C66FF867C}">
                  <a14:compatExt spid="_x0000_s235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44</xdr:row>
          <xdr:rowOff>69850</xdr:rowOff>
        </xdr:from>
        <xdr:to>
          <xdr:col>5</xdr:col>
          <xdr:colOff>939800</xdr:colOff>
          <xdr:row>44</xdr:row>
          <xdr:rowOff>254000</xdr:rowOff>
        </xdr:to>
        <xdr:sp macro="" textlink="">
          <xdr:nvSpPr>
            <xdr:cNvPr id="23593" name="OptionButton40" hidden="1">
              <a:extLst>
                <a:ext uri="{63B3BB69-23CF-44E3-9099-C40C66FF867C}">
                  <a14:compatExt spid="_x0000_s235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793750</xdr:colOff>
          <xdr:row>49</xdr:row>
          <xdr:rowOff>508000</xdr:rowOff>
        </xdr:from>
        <xdr:to>
          <xdr:col>5</xdr:col>
          <xdr:colOff>958850</xdr:colOff>
          <xdr:row>49</xdr:row>
          <xdr:rowOff>692150</xdr:rowOff>
        </xdr:to>
        <xdr:sp macro="" textlink="">
          <xdr:nvSpPr>
            <xdr:cNvPr id="23594" name="OptionButton41" hidden="1">
              <a:extLst>
                <a:ext uri="{63B3BB69-23CF-44E3-9099-C40C66FF867C}">
                  <a14:compatExt spid="_x0000_s235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793750</xdr:colOff>
          <xdr:row>52</xdr:row>
          <xdr:rowOff>317500</xdr:rowOff>
        </xdr:from>
        <xdr:to>
          <xdr:col>5</xdr:col>
          <xdr:colOff>958850</xdr:colOff>
          <xdr:row>52</xdr:row>
          <xdr:rowOff>501650</xdr:rowOff>
        </xdr:to>
        <xdr:sp macro="" textlink="">
          <xdr:nvSpPr>
            <xdr:cNvPr id="23595" name="OptionButton42" hidden="1">
              <a:extLst>
                <a:ext uri="{63B3BB69-23CF-44E3-9099-C40C66FF867C}">
                  <a14:compatExt spid="_x0000_s235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781050</xdr:colOff>
          <xdr:row>55</xdr:row>
          <xdr:rowOff>279400</xdr:rowOff>
        </xdr:from>
        <xdr:to>
          <xdr:col>5</xdr:col>
          <xdr:colOff>939800</xdr:colOff>
          <xdr:row>55</xdr:row>
          <xdr:rowOff>463550</xdr:rowOff>
        </xdr:to>
        <xdr:sp macro="" textlink="">
          <xdr:nvSpPr>
            <xdr:cNvPr id="23596" name="OptionButton43" hidden="1">
              <a:extLst>
                <a:ext uri="{63B3BB69-23CF-44E3-9099-C40C66FF867C}">
                  <a14:compatExt spid="_x0000_s235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58</xdr:row>
          <xdr:rowOff>171450</xdr:rowOff>
        </xdr:from>
        <xdr:to>
          <xdr:col>5</xdr:col>
          <xdr:colOff>927100</xdr:colOff>
          <xdr:row>58</xdr:row>
          <xdr:rowOff>355600</xdr:rowOff>
        </xdr:to>
        <xdr:sp macro="" textlink="">
          <xdr:nvSpPr>
            <xdr:cNvPr id="23597" name="OptionButton44" hidden="1">
              <a:extLst>
                <a:ext uri="{63B3BB69-23CF-44E3-9099-C40C66FF867C}">
                  <a14:compatExt spid="_x0000_s235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793750</xdr:colOff>
          <xdr:row>59</xdr:row>
          <xdr:rowOff>171450</xdr:rowOff>
        </xdr:from>
        <xdr:to>
          <xdr:col>5</xdr:col>
          <xdr:colOff>958850</xdr:colOff>
          <xdr:row>59</xdr:row>
          <xdr:rowOff>355600</xdr:rowOff>
        </xdr:to>
        <xdr:sp macro="" textlink="">
          <xdr:nvSpPr>
            <xdr:cNvPr id="23598" name="OptionButton45" hidden="1">
              <a:extLst>
                <a:ext uri="{63B3BB69-23CF-44E3-9099-C40C66FF867C}">
                  <a14:compatExt spid="_x0000_s235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755650</xdr:colOff>
          <xdr:row>62</xdr:row>
          <xdr:rowOff>622300</xdr:rowOff>
        </xdr:from>
        <xdr:to>
          <xdr:col>5</xdr:col>
          <xdr:colOff>920750</xdr:colOff>
          <xdr:row>62</xdr:row>
          <xdr:rowOff>806450</xdr:rowOff>
        </xdr:to>
        <xdr:sp macro="" textlink="">
          <xdr:nvSpPr>
            <xdr:cNvPr id="23599" name="OptionButton46" hidden="1">
              <a:extLst>
                <a:ext uri="{63B3BB69-23CF-44E3-9099-C40C66FF867C}">
                  <a14:compatExt spid="_x0000_s235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65</xdr:row>
          <xdr:rowOff>317500</xdr:rowOff>
        </xdr:from>
        <xdr:to>
          <xdr:col>5</xdr:col>
          <xdr:colOff>939800</xdr:colOff>
          <xdr:row>66</xdr:row>
          <xdr:rowOff>6350</xdr:rowOff>
        </xdr:to>
        <xdr:sp macro="" textlink="">
          <xdr:nvSpPr>
            <xdr:cNvPr id="23600" name="OptionButton47" hidden="1">
              <a:extLst>
                <a:ext uri="{63B3BB69-23CF-44E3-9099-C40C66FF867C}">
                  <a14:compatExt spid="_x0000_s23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68</xdr:row>
          <xdr:rowOff>342900</xdr:rowOff>
        </xdr:from>
        <xdr:to>
          <xdr:col>5</xdr:col>
          <xdr:colOff>927100</xdr:colOff>
          <xdr:row>69</xdr:row>
          <xdr:rowOff>31750</xdr:rowOff>
        </xdr:to>
        <xdr:sp macro="" textlink="">
          <xdr:nvSpPr>
            <xdr:cNvPr id="23601" name="OptionButton48" hidden="1">
              <a:extLst>
                <a:ext uri="{63B3BB69-23CF-44E3-9099-C40C66FF867C}">
                  <a14:compatExt spid="_x0000_s236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755650</xdr:colOff>
          <xdr:row>71</xdr:row>
          <xdr:rowOff>622300</xdr:rowOff>
        </xdr:from>
        <xdr:to>
          <xdr:col>5</xdr:col>
          <xdr:colOff>914400</xdr:colOff>
          <xdr:row>71</xdr:row>
          <xdr:rowOff>806450</xdr:rowOff>
        </xdr:to>
        <xdr:sp macro="" textlink="">
          <xdr:nvSpPr>
            <xdr:cNvPr id="23602" name="OptionButton49" hidden="1">
              <a:extLst>
                <a:ext uri="{63B3BB69-23CF-44E3-9099-C40C66FF867C}">
                  <a14:compatExt spid="_x0000_s236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755650</xdr:colOff>
          <xdr:row>78</xdr:row>
          <xdr:rowOff>622300</xdr:rowOff>
        </xdr:from>
        <xdr:to>
          <xdr:col>5</xdr:col>
          <xdr:colOff>920750</xdr:colOff>
          <xdr:row>78</xdr:row>
          <xdr:rowOff>806450</xdr:rowOff>
        </xdr:to>
        <xdr:sp macro="" textlink="">
          <xdr:nvSpPr>
            <xdr:cNvPr id="23603" name="OptionButton50" hidden="1">
              <a:extLst>
                <a:ext uri="{63B3BB69-23CF-44E3-9099-C40C66FF867C}">
                  <a14:compatExt spid="_x0000_s236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81</xdr:row>
          <xdr:rowOff>304800</xdr:rowOff>
        </xdr:from>
        <xdr:to>
          <xdr:col>5</xdr:col>
          <xdr:colOff>927100</xdr:colOff>
          <xdr:row>81</xdr:row>
          <xdr:rowOff>488950</xdr:rowOff>
        </xdr:to>
        <xdr:sp macro="" textlink="">
          <xdr:nvSpPr>
            <xdr:cNvPr id="23604" name="OptionButton51" hidden="1">
              <a:extLst>
                <a:ext uri="{63B3BB69-23CF-44E3-9099-C40C66FF867C}">
                  <a14:compatExt spid="_x0000_s236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84</xdr:row>
          <xdr:rowOff>393700</xdr:rowOff>
        </xdr:from>
        <xdr:to>
          <xdr:col>5</xdr:col>
          <xdr:colOff>939800</xdr:colOff>
          <xdr:row>85</xdr:row>
          <xdr:rowOff>82550</xdr:rowOff>
        </xdr:to>
        <xdr:sp macro="" textlink="">
          <xdr:nvSpPr>
            <xdr:cNvPr id="23605" name="OptionButton52" hidden="1">
              <a:extLst>
                <a:ext uri="{63B3BB69-23CF-44E3-9099-C40C66FF867C}">
                  <a14:compatExt spid="_x0000_s236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87</xdr:row>
          <xdr:rowOff>628650</xdr:rowOff>
        </xdr:from>
        <xdr:to>
          <xdr:col>5</xdr:col>
          <xdr:colOff>933450</xdr:colOff>
          <xdr:row>87</xdr:row>
          <xdr:rowOff>812800</xdr:rowOff>
        </xdr:to>
        <xdr:sp macro="" textlink="">
          <xdr:nvSpPr>
            <xdr:cNvPr id="23606" name="OptionButton53" hidden="1">
              <a:extLst>
                <a:ext uri="{63B3BB69-23CF-44E3-9099-C40C66FF867C}">
                  <a14:compatExt spid="_x0000_s236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755650</xdr:colOff>
          <xdr:row>90</xdr:row>
          <xdr:rowOff>184150</xdr:rowOff>
        </xdr:from>
        <xdr:to>
          <xdr:col>5</xdr:col>
          <xdr:colOff>914400</xdr:colOff>
          <xdr:row>91</xdr:row>
          <xdr:rowOff>38100</xdr:rowOff>
        </xdr:to>
        <xdr:sp macro="" textlink="">
          <xdr:nvSpPr>
            <xdr:cNvPr id="23607" name="OptionButton54" hidden="1">
              <a:extLst>
                <a:ext uri="{63B3BB69-23CF-44E3-9099-C40C66FF867C}">
                  <a14:compatExt spid="_x0000_s236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94</xdr:row>
          <xdr:rowOff>247650</xdr:rowOff>
        </xdr:from>
        <xdr:to>
          <xdr:col>5</xdr:col>
          <xdr:colOff>927100</xdr:colOff>
          <xdr:row>94</xdr:row>
          <xdr:rowOff>431800</xdr:rowOff>
        </xdr:to>
        <xdr:sp macro="" textlink="">
          <xdr:nvSpPr>
            <xdr:cNvPr id="23608" name="OptionButton55" hidden="1">
              <a:extLst>
                <a:ext uri="{63B3BB69-23CF-44E3-9099-C40C66FF867C}">
                  <a14:compatExt spid="_x0000_s236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97</xdr:row>
          <xdr:rowOff>247650</xdr:rowOff>
        </xdr:from>
        <xdr:to>
          <xdr:col>5</xdr:col>
          <xdr:colOff>927100</xdr:colOff>
          <xdr:row>98</xdr:row>
          <xdr:rowOff>101600</xdr:rowOff>
        </xdr:to>
        <xdr:sp macro="" textlink="">
          <xdr:nvSpPr>
            <xdr:cNvPr id="23609" name="OptionButton56" hidden="1">
              <a:extLst>
                <a:ext uri="{63B3BB69-23CF-44E3-9099-C40C66FF867C}">
                  <a14:compatExt spid="_x0000_s236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100</xdr:row>
          <xdr:rowOff>247650</xdr:rowOff>
        </xdr:from>
        <xdr:to>
          <xdr:col>5</xdr:col>
          <xdr:colOff>927100</xdr:colOff>
          <xdr:row>101</xdr:row>
          <xdr:rowOff>101600</xdr:rowOff>
        </xdr:to>
        <xdr:sp macro="" textlink="">
          <xdr:nvSpPr>
            <xdr:cNvPr id="23610" name="OptionButton57" hidden="1">
              <a:extLst>
                <a:ext uri="{63B3BB69-23CF-44E3-9099-C40C66FF867C}">
                  <a14:compatExt spid="_x0000_s236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755650</xdr:colOff>
          <xdr:row>103</xdr:row>
          <xdr:rowOff>381000</xdr:rowOff>
        </xdr:from>
        <xdr:to>
          <xdr:col>5</xdr:col>
          <xdr:colOff>914400</xdr:colOff>
          <xdr:row>104</xdr:row>
          <xdr:rowOff>69850</xdr:rowOff>
        </xdr:to>
        <xdr:sp macro="" textlink="">
          <xdr:nvSpPr>
            <xdr:cNvPr id="23611" name="OptionButton58" hidden="1">
              <a:extLst>
                <a:ext uri="{63B3BB69-23CF-44E3-9099-C40C66FF867C}">
                  <a14:compatExt spid="_x0000_s236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781050</xdr:colOff>
          <xdr:row>106</xdr:row>
          <xdr:rowOff>260350</xdr:rowOff>
        </xdr:from>
        <xdr:to>
          <xdr:col>5</xdr:col>
          <xdr:colOff>939800</xdr:colOff>
          <xdr:row>107</xdr:row>
          <xdr:rowOff>114300</xdr:rowOff>
        </xdr:to>
        <xdr:sp macro="" textlink="">
          <xdr:nvSpPr>
            <xdr:cNvPr id="23612" name="OptionButton59" hidden="1">
              <a:extLst>
                <a:ext uri="{63B3BB69-23CF-44E3-9099-C40C66FF867C}">
                  <a14:compatExt spid="_x0000_s236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736600</xdr:colOff>
          <xdr:row>74</xdr:row>
          <xdr:rowOff>127000</xdr:rowOff>
        </xdr:from>
        <xdr:to>
          <xdr:col>5</xdr:col>
          <xdr:colOff>901700</xdr:colOff>
          <xdr:row>74</xdr:row>
          <xdr:rowOff>311150</xdr:rowOff>
        </xdr:to>
        <xdr:sp macro="" textlink="">
          <xdr:nvSpPr>
            <xdr:cNvPr id="23613" name="OptionButton60" hidden="1">
              <a:extLst>
                <a:ext uri="{63B3BB69-23CF-44E3-9099-C40C66FF867C}">
                  <a14:compatExt spid="_x0000_s236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508000</xdr:colOff>
          <xdr:row>7</xdr:row>
          <xdr:rowOff>133350</xdr:rowOff>
        </xdr:from>
        <xdr:to>
          <xdr:col>1</xdr:col>
          <xdr:colOff>673100</xdr:colOff>
          <xdr:row>8</xdr:row>
          <xdr:rowOff>127000</xdr:rowOff>
        </xdr:to>
        <xdr:sp macro="" textlink="">
          <xdr:nvSpPr>
            <xdr:cNvPr id="24577" name="OptionButton1" hidden="1">
              <a:extLst>
                <a:ext uri="{63B3BB69-23CF-44E3-9099-C40C66FF867C}">
                  <a14:compatExt spid="_x0000_s24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11</xdr:row>
          <xdr:rowOff>133350</xdr:rowOff>
        </xdr:from>
        <xdr:to>
          <xdr:col>1</xdr:col>
          <xdr:colOff>673100</xdr:colOff>
          <xdr:row>12</xdr:row>
          <xdr:rowOff>120650</xdr:rowOff>
        </xdr:to>
        <xdr:sp macro="" textlink="">
          <xdr:nvSpPr>
            <xdr:cNvPr id="24579" name="OptionButton2" hidden="1">
              <a:extLst>
                <a:ext uri="{63B3BB69-23CF-44E3-9099-C40C66FF867C}">
                  <a14:compatExt spid="_x0000_s245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15</xdr:row>
          <xdr:rowOff>133350</xdr:rowOff>
        </xdr:from>
        <xdr:to>
          <xdr:col>1</xdr:col>
          <xdr:colOff>666750</xdr:colOff>
          <xdr:row>16</xdr:row>
          <xdr:rowOff>120650</xdr:rowOff>
        </xdr:to>
        <xdr:sp macro="" textlink="">
          <xdr:nvSpPr>
            <xdr:cNvPr id="24580" name="OptionButton3" hidden="1">
              <a:extLst>
                <a:ext uri="{63B3BB69-23CF-44E3-9099-C40C66FF867C}">
                  <a14:compatExt spid="_x0000_s245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19</xdr:row>
          <xdr:rowOff>133350</xdr:rowOff>
        </xdr:from>
        <xdr:to>
          <xdr:col>1</xdr:col>
          <xdr:colOff>673100</xdr:colOff>
          <xdr:row>20</xdr:row>
          <xdr:rowOff>120650</xdr:rowOff>
        </xdr:to>
        <xdr:sp macro="" textlink="">
          <xdr:nvSpPr>
            <xdr:cNvPr id="24581" name="OptionButton4" hidden="1">
              <a:extLst>
                <a:ext uri="{63B3BB69-23CF-44E3-9099-C40C66FF867C}">
                  <a14:compatExt spid="_x0000_s245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23</xdr:row>
          <xdr:rowOff>133350</xdr:rowOff>
        </xdr:from>
        <xdr:to>
          <xdr:col>1</xdr:col>
          <xdr:colOff>673100</xdr:colOff>
          <xdr:row>24</xdr:row>
          <xdr:rowOff>120650</xdr:rowOff>
        </xdr:to>
        <xdr:sp macro="" textlink="">
          <xdr:nvSpPr>
            <xdr:cNvPr id="24582" name="OptionButton5" hidden="1">
              <a:extLst>
                <a:ext uri="{63B3BB69-23CF-44E3-9099-C40C66FF867C}">
                  <a14:compatExt spid="_x0000_s245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488950</xdr:colOff>
          <xdr:row>30</xdr:row>
          <xdr:rowOff>184150</xdr:rowOff>
        </xdr:from>
        <xdr:to>
          <xdr:col>1</xdr:col>
          <xdr:colOff>654050</xdr:colOff>
          <xdr:row>31</xdr:row>
          <xdr:rowOff>101600</xdr:rowOff>
        </xdr:to>
        <xdr:sp macro="" textlink="">
          <xdr:nvSpPr>
            <xdr:cNvPr id="24583" name="OptionButton6" hidden="1">
              <a:extLst>
                <a:ext uri="{63B3BB69-23CF-44E3-9099-C40C66FF867C}">
                  <a14:compatExt spid="_x0000_s245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35</xdr:row>
          <xdr:rowOff>38100</xdr:rowOff>
        </xdr:from>
        <xdr:to>
          <xdr:col>1</xdr:col>
          <xdr:colOff>628650</xdr:colOff>
          <xdr:row>35</xdr:row>
          <xdr:rowOff>222250</xdr:rowOff>
        </xdr:to>
        <xdr:sp macro="" textlink="">
          <xdr:nvSpPr>
            <xdr:cNvPr id="24584" name="OptionButton7" hidden="1">
              <a:extLst>
                <a:ext uri="{63B3BB69-23CF-44E3-9099-C40C66FF867C}">
                  <a14:compatExt spid="_x0000_s245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39</xdr:row>
          <xdr:rowOff>31750</xdr:rowOff>
        </xdr:from>
        <xdr:to>
          <xdr:col>1</xdr:col>
          <xdr:colOff>641350</xdr:colOff>
          <xdr:row>39</xdr:row>
          <xdr:rowOff>215900</xdr:rowOff>
        </xdr:to>
        <xdr:sp macro="" textlink="">
          <xdr:nvSpPr>
            <xdr:cNvPr id="24585" name="OptionButton8" hidden="1">
              <a:extLst>
                <a:ext uri="{63B3BB69-23CF-44E3-9099-C40C66FF867C}">
                  <a14:compatExt spid="_x0000_s245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42</xdr:row>
          <xdr:rowOff>95250</xdr:rowOff>
        </xdr:from>
        <xdr:to>
          <xdr:col>1</xdr:col>
          <xdr:colOff>622300</xdr:colOff>
          <xdr:row>42</xdr:row>
          <xdr:rowOff>279400</xdr:rowOff>
        </xdr:to>
        <xdr:sp macro="" textlink="">
          <xdr:nvSpPr>
            <xdr:cNvPr id="24586" name="OptionButton9" hidden="1">
              <a:extLst>
                <a:ext uri="{63B3BB69-23CF-44E3-9099-C40C66FF867C}">
                  <a14:compatExt spid="_x0000_s245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44</xdr:row>
          <xdr:rowOff>107950</xdr:rowOff>
        </xdr:from>
        <xdr:to>
          <xdr:col>1</xdr:col>
          <xdr:colOff>635000</xdr:colOff>
          <xdr:row>44</xdr:row>
          <xdr:rowOff>292100</xdr:rowOff>
        </xdr:to>
        <xdr:sp macro="" textlink="">
          <xdr:nvSpPr>
            <xdr:cNvPr id="24587" name="OptionButton10" hidden="1">
              <a:extLst>
                <a:ext uri="{63B3BB69-23CF-44E3-9099-C40C66FF867C}">
                  <a14:compatExt spid="_x0000_s245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49</xdr:row>
          <xdr:rowOff>31750</xdr:rowOff>
        </xdr:from>
        <xdr:to>
          <xdr:col>1</xdr:col>
          <xdr:colOff>628650</xdr:colOff>
          <xdr:row>49</xdr:row>
          <xdr:rowOff>215900</xdr:rowOff>
        </xdr:to>
        <xdr:sp macro="" textlink="">
          <xdr:nvSpPr>
            <xdr:cNvPr id="24588" name="OptionButton11" hidden="1">
              <a:extLst>
                <a:ext uri="{63B3BB69-23CF-44E3-9099-C40C66FF867C}">
                  <a14:compatExt spid="_x0000_s245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53</xdr:row>
          <xdr:rowOff>260350</xdr:rowOff>
        </xdr:from>
        <xdr:to>
          <xdr:col>1</xdr:col>
          <xdr:colOff>622300</xdr:colOff>
          <xdr:row>54</xdr:row>
          <xdr:rowOff>114300</xdr:rowOff>
        </xdr:to>
        <xdr:sp macro="" textlink="">
          <xdr:nvSpPr>
            <xdr:cNvPr id="24594" name="OptionButton13" hidden="1">
              <a:extLst>
                <a:ext uri="{63B3BB69-23CF-44E3-9099-C40C66FF867C}">
                  <a14:compatExt spid="_x0000_s245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57</xdr:row>
          <xdr:rowOff>247650</xdr:rowOff>
        </xdr:from>
        <xdr:to>
          <xdr:col>1</xdr:col>
          <xdr:colOff>635000</xdr:colOff>
          <xdr:row>58</xdr:row>
          <xdr:rowOff>101600</xdr:rowOff>
        </xdr:to>
        <xdr:sp macro="" textlink="">
          <xdr:nvSpPr>
            <xdr:cNvPr id="24595" name="OptionButton14" hidden="1">
              <a:extLst>
                <a:ext uri="{63B3BB69-23CF-44E3-9099-C40C66FF867C}">
                  <a14:compatExt spid="_x0000_s245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61</xdr:row>
          <xdr:rowOff>165100</xdr:rowOff>
        </xdr:from>
        <xdr:to>
          <xdr:col>1</xdr:col>
          <xdr:colOff>635000</xdr:colOff>
          <xdr:row>61</xdr:row>
          <xdr:rowOff>349250</xdr:rowOff>
        </xdr:to>
        <xdr:sp macro="" textlink="">
          <xdr:nvSpPr>
            <xdr:cNvPr id="24596" name="OptionButton15" hidden="1">
              <a:extLst>
                <a:ext uri="{63B3BB69-23CF-44E3-9099-C40C66FF867C}">
                  <a14:compatExt spid="_x0000_s245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62</xdr:row>
          <xdr:rowOff>133350</xdr:rowOff>
        </xdr:from>
        <xdr:to>
          <xdr:col>1</xdr:col>
          <xdr:colOff>622300</xdr:colOff>
          <xdr:row>62</xdr:row>
          <xdr:rowOff>317500</xdr:rowOff>
        </xdr:to>
        <xdr:sp macro="" textlink="">
          <xdr:nvSpPr>
            <xdr:cNvPr id="24597" name="OptionButton16" hidden="1">
              <a:extLst>
                <a:ext uri="{63B3BB69-23CF-44E3-9099-C40C66FF867C}">
                  <a14:compatExt spid="_x0000_s245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488950</xdr:colOff>
          <xdr:row>66</xdr:row>
          <xdr:rowOff>127000</xdr:rowOff>
        </xdr:from>
        <xdr:to>
          <xdr:col>1</xdr:col>
          <xdr:colOff>647700</xdr:colOff>
          <xdr:row>67</xdr:row>
          <xdr:rowOff>114300</xdr:rowOff>
        </xdr:to>
        <xdr:sp macro="" textlink="">
          <xdr:nvSpPr>
            <xdr:cNvPr id="24598" name="OptionButton17" hidden="1">
              <a:extLst>
                <a:ext uri="{63B3BB69-23CF-44E3-9099-C40C66FF867C}">
                  <a14:compatExt spid="_x0000_s245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488950</xdr:colOff>
          <xdr:row>72</xdr:row>
          <xdr:rowOff>19050</xdr:rowOff>
        </xdr:from>
        <xdr:to>
          <xdr:col>1</xdr:col>
          <xdr:colOff>647700</xdr:colOff>
          <xdr:row>73</xdr:row>
          <xdr:rowOff>6350</xdr:rowOff>
        </xdr:to>
        <xdr:sp macro="" textlink="">
          <xdr:nvSpPr>
            <xdr:cNvPr id="24599" name="OptionButton18" hidden="1">
              <a:extLst>
                <a:ext uri="{63B3BB69-23CF-44E3-9099-C40C66FF867C}">
                  <a14:compatExt spid="_x0000_s245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488950</xdr:colOff>
          <xdr:row>77</xdr:row>
          <xdr:rowOff>31750</xdr:rowOff>
        </xdr:from>
        <xdr:to>
          <xdr:col>1</xdr:col>
          <xdr:colOff>654050</xdr:colOff>
          <xdr:row>78</xdr:row>
          <xdr:rowOff>19050</xdr:rowOff>
        </xdr:to>
        <xdr:sp macro="" textlink="">
          <xdr:nvSpPr>
            <xdr:cNvPr id="24600" name="OptionButton19" hidden="1">
              <a:extLst>
                <a:ext uri="{63B3BB69-23CF-44E3-9099-C40C66FF867C}">
                  <a14:compatExt spid="_x0000_s24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81</xdr:row>
          <xdr:rowOff>69850</xdr:rowOff>
        </xdr:from>
        <xdr:to>
          <xdr:col>1</xdr:col>
          <xdr:colOff>635000</xdr:colOff>
          <xdr:row>82</xdr:row>
          <xdr:rowOff>57150</xdr:rowOff>
        </xdr:to>
        <xdr:sp macro="" textlink="">
          <xdr:nvSpPr>
            <xdr:cNvPr id="24601" name="OptionButton20" hidden="1">
              <a:extLst>
                <a:ext uri="{63B3BB69-23CF-44E3-9099-C40C66FF867C}">
                  <a14:compatExt spid="_x0000_s246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83</xdr:row>
          <xdr:rowOff>57150</xdr:rowOff>
        </xdr:from>
        <xdr:to>
          <xdr:col>1</xdr:col>
          <xdr:colOff>641350</xdr:colOff>
          <xdr:row>84</xdr:row>
          <xdr:rowOff>57150</xdr:rowOff>
        </xdr:to>
        <xdr:sp macro="" textlink="">
          <xdr:nvSpPr>
            <xdr:cNvPr id="24602" name="OptionButton21" hidden="1">
              <a:extLst>
                <a:ext uri="{63B3BB69-23CF-44E3-9099-C40C66FF867C}">
                  <a14:compatExt spid="_x0000_s246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87</xdr:row>
          <xdr:rowOff>228600</xdr:rowOff>
        </xdr:from>
        <xdr:to>
          <xdr:col>1</xdr:col>
          <xdr:colOff>635000</xdr:colOff>
          <xdr:row>88</xdr:row>
          <xdr:rowOff>31750</xdr:rowOff>
        </xdr:to>
        <xdr:sp macro="" textlink="">
          <xdr:nvSpPr>
            <xdr:cNvPr id="24603" name="OptionButton22" hidden="1">
              <a:extLst>
                <a:ext uri="{63B3BB69-23CF-44E3-9099-C40C66FF867C}">
                  <a14:compatExt spid="_x0000_s246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90</xdr:row>
          <xdr:rowOff>95250</xdr:rowOff>
        </xdr:from>
        <xdr:to>
          <xdr:col>1</xdr:col>
          <xdr:colOff>615950</xdr:colOff>
          <xdr:row>90</xdr:row>
          <xdr:rowOff>279400</xdr:rowOff>
        </xdr:to>
        <xdr:sp macro="" textlink="">
          <xdr:nvSpPr>
            <xdr:cNvPr id="24604" name="OptionButton23" hidden="1">
              <a:extLst>
                <a:ext uri="{63B3BB69-23CF-44E3-9099-C40C66FF867C}">
                  <a14:compatExt spid="_x0000_s246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91</xdr:row>
          <xdr:rowOff>114300</xdr:rowOff>
        </xdr:from>
        <xdr:to>
          <xdr:col>1</xdr:col>
          <xdr:colOff>622300</xdr:colOff>
          <xdr:row>91</xdr:row>
          <xdr:rowOff>298450</xdr:rowOff>
        </xdr:to>
        <xdr:sp macro="" textlink="">
          <xdr:nvSpPr>
            <xdr:cNvPr id="24605" name="OptionButton24" hidden="1">
              <a:extLst>
                <a:ext uri="{63B3BB69-23CF-44E3-9099-C40C66FF867C}">
                  <a14:compatExt spid="_x0000_s246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92</xdr:row>
          <xdr:rowOff>114300</xdr:rowOff>
        </xdr:from>
        <xdr:to>
          <xdr:col>1</xdr:col>
          <xdr:colOff>635000</xdr:colOff>
          <xdr:row>93</xdr:row>
          <xdr:rowOff>101600</xdr:rowOff>
        </xdr:to>
        <xdr:sp macro="" textlink="">
          <xdr:nvSpPr>
            <xdr:cNvPr id="24606" name="OptionButton25" hidden="1">
              <a:extLst>
                <a:ext uri="{63B3BB69-23CF-44E3-9099-C40C66FF867C}">
                  <a14:compatExt spid="_x0000_s246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95</xdr:row>
          <xdr:rowOff>31750</xdr:rowOff>
        </xdr:from>
        <xdr:to>
          <xdr:col>1</xdr:col>
          <xdr:colOff>635000</xdr:colOff>
          <xdr:row>95</xdr:row>
          <xdr:rowOff>215900</xdr:rowOff>
        </xdr:to>
        <xdr:sp macro="" textlink="">
          <xdr:nvSpPr>
            <xdr:cNvPr id="24607" name="OptionButton26" hidden="1">
              <a:extLst>
                <a:ext uri="{63B3BB69-23CF-44E3-9099-C40C66FF867C}">
                  <a14:compatExt spid="_x0000_s246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99</xdr:row>
          <xdr:rowOff>222250</xdr:rowOff>
        </xdr:from>
        <xdr:to>
          <xdr:col>1</xdr:col>
          <xdr:colOff>635000</xdr:colOff>
          <xdr:row>100</xdr:row>
          <xdr:rowOff>25400</xdr:rowOff>
        </xdr:to>
        <xdr:sp macro="" textlink="">
          <xdr:nvSpPr>
            <xdr:cNvPr id="24608" name="OptionButton27" hidden="1">
              <a:extLst>
                <a:ext uri="{63B3BB69-23CF-44E3-9099-C40C66FF867C}">
                  <a14:compatExt spid="_x0000_s246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104</xdr:row>
          <xdr:rowOff>209550</xdr:rowOff>
        </xdr:from>
        <xdr:to>
          <xdr:col>1</xdr:col>
          <xdr:colOff>635000</xdr:colOff>
          <xdr:row>105</xdr:row>
          <xdr:rowOff>63500</xdr:rowOff>
        </xdr:to>
        <xdr:sp macro="" textlink="">
          <xdr:nvSpPr>
            <xdr:cNvPr id="24609" name="OptionButton28" hidden="1">
              <a:extLst>
                <a:ext uri="{63B3BB69-23CF-44E3-9099-C40C66FF867C}">
                  <a14:compatExt spid="_x0000_s246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488950</xdr:colOff>
          <xdr:row>110</xdr:row>
          <xdr:rowOff>298450</xdr:rowOff>
        </xdr:from>
        <xdr:to>
          <xdr:col>1</xdr:col>
          <xdr:colOff>654050</xdr:colOff>
          <xdr:row>111</xdr:row>
          <xdr:rowOff>152400</xdr:rowOff>
        </xdr:to>
        <xdr:sp macro="" textlink="">
          <xdr:nvSpPr>
            <xdr:cNvPr id="24610" name="OptionButton29" hidden="1">
              <a:extLst>
                <a:ext uri="{63B3BB69-23CF-44E3-9099-C40C66FF867C}">
                  <a14:compatExt spid="_x0000_s246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117</xdr:row>
          <xdr:rowOff>31750</xdr:rowOff>
        </xdr:from>
        <xdr:to>
          <xdr:col>1</xdr:col>
          <xdr:colOff>635000</xdr:colOff>
          <xdr:row>118</xdr:row>
          <xdr:rowOff>31750</xdr:rowOff>
        </xdr:to>
        <xdr:sp macro="" textlink="">
          <xdr:nvSpPr>
            <xdr:cNvPr id="24611" name="OptionButton30" hidden="1">
              <a:extLst>
                <a:ext uri="{63B3BB69-23CF-44E3-9099-C40C66FF867C}">
                  <a14:compatExt spid="_x0000_s246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124</xdr:row>
          <xdr:rowOff>31750</xdr:rowOff>
        </xdr:from>
        <xdr:to>
          <xdr:col>1</xdr:col>
          <xdr:colOff>622300</xdr:colOff>
          <xdr:row>124</xdr:row>
          <xdr:rowOff>215900</xdr:rowOff>
        </xdr:to>
        <xdr:sp macro="" textlink="">
          <xdr:nvSpPr>
            <xdr:cNvPr id="24612" name="OptionButton31" hidden="1">
              <a:extLst>
                <a:ext uri="{63B3BB69-23CF-44E3-9099-C40C66FF867C}">
                  <a14:compatExt spid="_x0000_s246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132</xdr:row>
          <xdr:rowOff>31750</xdr:rowOff>
        </xdr:from>
        <xdr:to>
          <xdr:col>1</xdr:col>
          <xdr:colOff>635000</xdr:colOff>
          <xdr:row>133</xdr:row>
          <xdr:rowOff>19050</xdr:rowOff>
        </xdr:to>
        <xdr:sp macro="" textlink="">
          <xdr:nvSpPr>
            <xdr:cNvPr id="24613" name="OptionButton32" hidden="1">
              <a:extLst>
                <a:ext uri="{63B3BB69-23CF-44E3-9099-C40C66FF867C}">
                  <a14:compatExt spid="_x0000_s246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450850</xdr:colOff>
          <xdr:row>137</xdr:row>
          <xdr:rowOff>95250</xdr:rowOff>
        </xdr:from>
        <xdr:to>
          <xdr:col>1</xdr:col>
          <xdr:colOff>609600</xdr:colOff>
          <xdr:row>138</xdr:row>
          <xdr:rowOff>95250</xdr:rowOff>
        </xdr:to>
        <xdr:sp macro="" textlink="">
          <xdr:nvSpPr>
            <xdr:cNvPr id="24614" name="OptionButton33" hidden="1">
              <a:extLst>
                <a:ext uri="{63B3BB69-23CF-44E3-9099-C40C66FF867C}">
                  <a14:compatExt spid="_x0000_s246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141</xdr:row>
          <xdr:rowOff>88900</xdr:rowOff>
        </xdr:from>
        <xdr:to>
          <xdr:col>1</xdr:col>
          <xdr:colOff>622300</xdr:colOff>
          <xdr:row>141</xdr:row>
          <xdr:rowOff>273050</xdr:rowOff>
        </xdr:to>
        <xdr:sp macro="" textlink="">
          <xdr:nvSpPr>
            <xdr:cNvPr id="24615" name="OptionButton34" hidden="1">
              <a:extLst>
                <a:ext uri="{63B3BB69-23CF-44E3-9099-C40C66FF867C}">
                  <a14:compatExt spid="_x0000_s246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145</xdr:row>
          <xdr:rowOff>76200</xdr:rowOff>
        </xdr:from>
        <xdr:to>
          <xdr:col>1</xdr:col>
          <xdr:colOff>641350</xdr:colOff>
          <xdr:row>145</xdr:row>
          <xdr:rowOff>260350</xdr:rowOff>
        </xdr:to>
        <xdr:sp macro="" textlink="">
          <xdr:nvSpPr>
            <xdr:cNvPr id="24616" name="OptionButton35" hidden="1">
              <a:extLst>
                <a:ext uri="{63B3BB69-23CF-44E3-9099-C40C66FF867C}">
                  <a14:compatExt spid="_x0000_s246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476250</xdr:colOff>
          <xdr:row>148</xdr:row>
          <xdr:rowOff>304800</xdr:rowOff>
        </xdr:from>
        <xdr:to>
          <xdr:col>1</xdr:col>
          <xdr:colOff>641350</xdr:colOff>
          <xdr:row>149</xdr:row>
          <xdr:rowOff>158750</xdr:rowOff>
        </xdr:to>
        <xdr:sp macro="" textlink="">
          <xdr:nvSpPr>
            <xdr:cNvPr id="24617" name="OptionButton36" hidden="1">
              <a:extLst>
                <a:ext uri="{63B3BB69-23CF-44E3-9099-C40C66FF867C}">
                  <a14:compatExt spid="_x0000_s246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469900</xdr:colOff>
          <xdr:row>7</xdr:row>
          <xdr:rowOff>133350</xdr:rowOff>
        </xdr:from>
        <xdr:to>
          <xdr:col>5</xdr:col>
          <xdr:colOff>635000</xdr:colOff>
          <xdr:row>8</xdr:row>
          <xdr:rowOff>127000</xdr:rowOff>
        </xdr:to>
        <xdr:sp macro="" textlink="">
          <xdr:nvSpPr>
            <xdr:cNvPr id="24618" name="OptionButton37" hidden="1">
              <a:extLst>
                <a:ext uri="{63B3BB69-23CF-44E3-9099-C40C66FF867C}">
                  <a14:compatExt spid="_x0000_s246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469900</xdr:colOff>
          <xdr:row>15</xdr:row>
          <xdr:rowOff>133350</xdr:rowOff>
        </xdr:from>
        <xdr:to>
          <xdr:col>5</xdr:col>
          <xdr:colOff>635000</xdr:colOff>
          <xdr:row>16</xdr:row>
          <xdr:rowOff>120650</xdr:rowOff>
        </xdr:to>
        <xdr:sp macro="" textlink="">
          <xdr:nvSpPr>
            <xdr:cNvPr id="24620" name="OptionButton39" hidden="1">
              <a:extLst>
                <a:ext uri="{63B3BB69-23CF-44E3-9099-C40C66FF867C}">
                  <a14:compatExt spid="_x0000_s246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469900</xdr:colOff>
          <xdr:row>23</xdr:row>
          <xdr:rowOff>133350</xdr:rowOff>
        </xdr:from>
        <xdr:to>
          <xdr:col>5</xdr:col>
          <xdr:colOff>635000</xdr:colOff>
          <xdr:row>24</xdr:row>
          <xdr:rowOff>120650</xdr:rowOff>
        </xdr:to>
        <xdr:sp macro="" textlink="">
          <xdr:nvSpPr>
            <xdr:cNvPr id="24622" name="OptionButton41" hidden="1">
              <a:extLst>
                <a:ext uri="{63B3BB69-23CF-44E3-9099-C40C66FF867C}">
                  <a14:compatExt spid="_x0000_s246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30</xdr:row>
          <xdr:rowOff>171450</xdr:rowOff>
        </xdr:from>
        <xdr:to>
          <xdr:col>5</xdr:col>
          <xdr:colOff>622300</xdr:colOff>
          <xdr:row>31</xdr:row>
          <xdr:rowOff>88900</xdr:rowOff>
        </xdr:to>
        <xdr:sp macro="" textlink="">
          <xdr:nvSpPr>
            <xdr:cNvPr id="24623" name="OptionButton42" hidden="1">
              <a:extLst>
                <a:ext uri="{63B3BB69-23CF-44E3-9099-C40C66FF867C}">
                  <a14:compatExt spid="_x0000_s246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35</xdr:row>
          <xdr:rowOff>38100</xdr:rowOff>
        </xdr:from>
        <xdr:to>
          <xdr:col>5</xdr:col>
          <xdr:colOff>641350</xdr:colOff>
          <xdr:row>35</xdr:row>
          <xdr:rowOff>222250</xdr:rowOff>
        </xdr:to>
        <xdr:sp macro="" textlink="">
          <xdr:nvSpPr>
            <xdr:cNvPr id="24624" name="OptionButton43" hidden="1">
              <a:extLst>
                <a:ext uri="{63B3BB69-23CF-44E3-9099-C40C66FF867C}">
                  <a14:compatExt spid="_x0000_s246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469900</xdr:colOff>
          <xdr:row>39</xdr:row>
          <xdr:rowOff>50800</xdr:rowOff>
        </xdr:from>
        <xdr:to>
          <xdr:col>5</xdr:col>
          <xdr:colOff>635000</xdr:colOff>
          <xdr:row>39</xdr:row>
          <xdr:rowOff>234950</xdr:rowOff>
        </xdr:to>
        <xdr:sp macro="" textlink="">
          <xdr:nvSpPr>
            <xdr:cNvPr id="24625" name="OptionButton44" hidden="1">
              <a:extLst>
                <a:ext uri="{63B3BB69-23CF-44E3-9099-C40C66FF867C}">
                  <a14:compatExt spid="_x0000_s246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469900</xdr:colOff>
          <xdr:row>42</xdr:row>
          <xdr:rowOff>69850</xdr:rowOff>
        </xdr:from>
        <xdr:to>
          <xdr:col>5</xdr:col>
          <xdr:colOff>635000</xdr:colOff>
          <xdr:row>42</xdr:row>
          <xdr:rowOff>254000</xdr:rowOff>
        </xdr:to>
        <xdr:sp macro="" textlink="">
          <xdr:nvSpPr>
            <xdr:cNvPr id="24626" name="OptionButton45" hidden="1">
              <a:extLst>
                <a:ext uri="{63B3BB69-23CF-44E3-9099-C40C66FF867C}">
                  <a14:compatExt spid="_x0000_s246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44</xdr:row>
          <xdr:rowOff>76200</xdr:rowOff>
        </xdr:from>
        <xdr:to>
          <xdr:col>5</xdr:col>
          <xdr:colOff>635000</xdr:colOff>
          <xdr:row>44</xdr:row>
          <xdr:rowOff>260350</xdr:rowOff>
        </xdr:to>
        <xdr:sp macro="" textlink="">
          <xdr:nvSpPr>
            <xdr:cNvPr id="24627" name="OptionButton46" hidden="1">
              <a:extLst>
                <a:ext uri="{63B3BB69-23CF-44E3-9099-C40C66FF867C}">
                  <a14:compatExt spid="_x0000_s246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49</xdr:row>
          <xdr:rowOff>0</xdr:rowOff>
        </xdr:from>
        <xdr:to>
          <xdr:col>5</xdr:col>
          <xdr:colOff>660400</xdr:colOff>
          <xdr:row>49</xdr:row>
          <xdr:rowOff>184150</xdr:rowOff>
        </xdr:to>
        <xdr:sp macro="" textlink="">
          <xdr:nvSpPr>
            <xdr:cNvPr id="24628" name="OptionButton12" hidden="1">
              <a:extLst>
                <a:ext uri="{63B3BB69-23CF-44E3-9099-C40C66FF867C}">
                  <a14:compatExt spid="_x0000_s246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53</xdr:row>
          <xdr:rowOff>304800</xdr:rowOff>
        </xdr:from>
        <xdr:to>
          <xdr:col>5</xdr:col>
          <xdr:colOff>654050</xdr:colOff>
          <xdr:row>54</xdr:row>
          <xdr:rowOff>158750</xdr:rowOff>
        </xdr:to>
        <xdr:sp macro="" textlink="">
          <xdr:nvSpPr>
            <xdr:cNvPr id="24630" name="OptionButton47" hidden="1">
              <a:extLst>
                <a:ext uri="{63B3BB69-23CF-44E3-9099-C40C66FF867C}">
                  <a14:compatExt spid="_x0000_s246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57</xdr:row>
          <xdr:rowOff>222250</xdr:rowOff>
        </xdr:from>
        <xdr:to>
          <xdr:col>5</xdr:col>
          <xdr:colOff>654050</xdr:colOff>
          <xdr:row>58</xdr:row>
          <xdr:rowOff>76200</xdr:rowOff>
        </xdr:to>
        <xdr:sp macro="" textlink="">
          <xdr:nvSpPr>
            <xdr:cNvPr id="24631" name="OptionButton48" hidden="1">
              <a:extLst>
                <a:ext uri="{63B3BB69-23CF-44E3-9099-C40C66FF867C}">
                  <a14:compatExt spid="_x0000_s246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61</xdr:row>
          <xdr:rowOff>165100</xdr:rowOff>
        </xdr:from>
        <xdr:to>
          <xdr:col>5</xdr:col>
          <xdr:colOff>647700</xdr:colOff>
          <xdr:row>61</xdr:row>
          <xdr:rowOff>349250</xdr:rowOff>
        </xdr:to>
        <xdr:sp macro="" textlink="">
          <xdr:nvSpPr>
            <xdr:cNvPr id="24632" name="OptionButton49" hidden="1">
              <a:extLst>
                <a:ext uri="{63B3BB69-23CF-44E3-9099-C40C66FF867C}">
                  <a14:compatExt spid="_x0000_s246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62</xdr:row>
          <xdr:rowOff>165100</xdr:rowOff>
        </xdr:from>
        <xdr:to>
          <xdr:col>5</xdr:col>
          <xdr:colOff>647700</xdr:colOff>
          <xdr:row>62</xdr:row>
          <xdr:rowOff>349250</xdr:rowOff>
        </xdr:to>
        <xdr:sp macro="" textlink="">
          <xdr:nvSpPr>
            <xdr:cNvPr id="24633" name="OptionButton50" hidden="1">
              <a:extLst>
                <a:ext uri="{63B3BB69-23CF-44E3-9099-C40C66FF867C}">
                  <a14:compatExt spid="_x0000_s246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66</xdr:row>
          <xdr:rowOff>114300</xdr:rowOff>
        </xdr:from>
        <xdr:to>
          <xdr:col>5</xdr:col>
          <xdr:colOff>647700</xdr:colOff>
          <xdr:row>67</xdr:row>
          <xdr:rowOff>101600</xdr:rowOff>
        </xdr:to>
        <xdr:sp macro="" textlink="">
          <xdr:nvSpPr>
            <xdr:cNvPr id="24634" name="OptionButton51" hidden="1">
              <a:extLst>
                <a:ext uri="{63B3BB69-23CF-44E3-9099-C40C66FF867C}">
                  <a14:compatExt spid="_x0000_s246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72</xdr:row>
          <xdr:rowOff>12700</xdr:rowOff>
        </xdr:from>
        <xdr:to>
          <xdr:col>5</xdr:col>
          <xdr:colOff>654050</xdr:colOff>
          <xdr:row>73</xdr:row>
          <xdr:rowOff>0</xdr:rowOff>
        </xdr:to>
        <xdr:sp macro="" textlink="">
          <xdr:nvSpPr>
            <xdr:cNvPr id="24635" name="OptionButton52" hidden="1">
              <a:extLst>
                <a:ext uri="{63B3BB69-23CF-44E3-9099-C40C66FF867C}">
                  <a14:compatExt spid="_x0000_s246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77</xdr:row>
          <xdr:rowOff>19050</xdr:rowOff>
        </xdr:from>
        <xdr:to>
          <xdr:col>5</xdr:col>
          <xdr:colOff>654050</xdr:colOff>
          <xdr:row>78</xdr:row>
          <xdr:rowOff>6350</xdr:rowOff>
        </xdr:to>
        <xdr:sp macro="" textlink="">
          <xdr:nvSpPr>
            <xdr:cNvPr id="24636" name="OptionButton53" hidden="1">
              <a:extLst>
                <a:ext uri="{63B3BB69-23CF-44E3-9099-C40C66FF867C}">
                  <a14:compatExt spid="_x0000_s246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81</xdr:row>
          <xdr:rowOff>57150</xdr:rowOff>
        </xdr:from>
        <xdr:to>
          <xdr:col>5</xdr:col>
          <xdr:colOff>654050</xdr:colOff>
          <xdr:row>82</xdr:row>
          <xdr:rowOff>44450</xdr:rowOff>
        </xdr:to>
        <xdr:sp macro="" textlink="">
          <xdr:nvSpPr>
            <xdr:cNvPr id="24637" name="OptionButton54" hidden="1">
              <a:extLst>
                <a:ext uri="{63B3BB69-23CF-44E3-9099-C40C66FF867C}">
                  <a14:compatExt spid="_x0000_s246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83</xdr:row>
          <xdr:rowOff>69850</xdr:rowOff>
        </xdr:from>
        <xdr:to>
          <xdr:col>5</xdr:col>
          <xdr:colOff>647700</xdr:colOff>
          <xdr:row>84</xdr:row>
          <xdr:rowOff>69850</xdr:rowOff>
        </xdr:to>
        <xdr:sp macro="" textlink="">
          <xdr:nvSpPr>
            <xdr:cNvPr id="24638" name="OptionButton55" hidden="1">
              <a:extLst>
                <a:ext uri="{63B3BB69-23CF-44E3-9099-C40C66FF867C}">
                  <a14:compatExt spid="_x0000_s246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87</xdr:row>
          <xdr:rowOff>222250</xdr:rowOff>
        </xdr:from>
        <xdr:to>
          <xdr:col>5</xdr:col>
          <xdr:colOff>647700</xdr:colOff>
          <xdr:row>88</xdr:row>
          <xdr:rowOff>25400</xdr:rowOff>
        </xdr:to>
        <xdr:sp macro="" textlink="">
          <xdr:nvSpPr>
            <xdr:cNvPr id="24639" name="OptionButton56" hidden="1">
              <a:extLst>
                <a:ext uri="{63B3BB69-23CF-44E3-9099-C40C66FF867C}">
                  <a14:compatExt spid="_x0000_s246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95</xdr:row>
          <xdr:rowOff>31750</xdr:rowOff>
        </xdr:from>
        <xdr:to>
          <xdr:col>5</xdr:col>
          <xdr:colOff>647700</xdr:colOff>
          <xdr:row>95</xdr:row>
          <xdr:rowOff>215900</xdr:rowOff>
        </xdr:to>
        <xdr:sp macro="" textlink="">
          <xdr:nvSpPr>
            <xdr:cNvPr id="24646" name="OptionButton60" hidden="1">
              <a:extLst>
                <a:ext uri="{63B3BB69-23CF-44E3-9099-C40C66FF867C}">
                  <a14:compatExt spid="_x0000_s246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99</xdr:row>
          <xdr:rowOff>209550</xdr:rowOff>
        </xdr:from>
        <xdr:to>
          <xdr:col>5</xdr:col>
          <xdr:colOff>654050</xdr:colOff>
          <xdr:row>100</xdr:row>
          <xdr:rowOff>12700</xdr:rowOff>
        </xdr:to>
        <xdr:sp macro="" textlink="">
          <xdr:nvSpPr>
            <xdr:cNvPr id="24647" name="OptionButton61" hidden="1">
              <a:extLst>
                <a:ext uri="{63B3BB69-23CF-44E3-9099-C40C66FF867C}">
                  <a14:compatExt spid="_x0000_s246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124</xdr:row>
          <xdr:rowOff>0</xdr:rowOff>
        </xdr:from>
        <xdr:to>
          <xdr:col>5</xdr:col>
          <xdr:colOff>654050</xdr:colOff>
          <xdr:row>124</xdr:row>
          <xdr:rowOff>184150</xdr:rowOff>
        </xdr:to>
        <xdr:sp macro="" textlink="">
          <xdr:nvSpPr>
            <xdr:cNvPr id="24651" name="OptionButton65" hidden="1">
              <a:extLst>
                <a:ext uri="{63B3BB69-23CF-44E3-9099-C40C66FF867C}">
                  <a14:compatExt spid="_x0000_s246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131</xdr:row>
          <xdr:rowOff>374650</xdr:rowOff>
        </xdr:from>
        <xdr:to>
          <xdr:col>5</xdr:col>
          <xdr:colOff>654050</xdr:colOff>
          <xdr:row>132</xdr:row>
          <xdr:rowOff>177800</xdr:rowOff>
        </xdr:to>
        <xdr:sp macro="" textlink="">
          <xdr:nvSpPr>
            <xdr:cNvPr id="24652" name="OptionButton66" hidden="1">
              <a:extLst>
                <a:ext uri="{63B3BB69-23CF-44E3-9099-C40C66FF867C}">
                  <a14:compatExt spid="_x0000_s246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137</xdr:row>
          <xdr:rowOff>69850</xdr:rowOff>
        </xdr:from>
        <xdr:to>
          <xdr:col>5</xdr:col>
          <xdr:colOff>635000</xdr:colOff>
          <xdr:row>138</xdr:row>
          <xdr:rowOff>69850</xdr:rowOff>
        </xdr:to>
        <xdr:sp macro="" textlink="">
          <xdr:nvSpPr>
            <xdr:cNvPr id="24653" name="OptionButton67" hidden="1">
              <a:extLst>
                <a:ext uri="{63B3BB69-23CF-44E3-9099-C40C66FF867C}">
                  <a14:compatExt spid="_x0000_s246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469900</xdr:colOff>
          <xdr:row>141</xdr:row>
          <xdr:rowOff>69850</xdr:rowOff>
        </xdr:from>
        <xdr:to>
          <xdr:col>5</xdr:col>
          <xdr:colOff>628650</xdr:colOff>
          <xdr:row>141</xdr:row>
          <xdr:rowOff>254000</xdr:rowOff>
        </xdr:to>
        <xdr:sp macro="" textlink="">
          <xdr:nvSpPr>
            <xdr:cNvPr id="24654" name="OptionButton68" hidden="1">
              <a:extLst>
                <a:ext uri="{63B3BB69-23CF-44E3-9099-C40C66FF867C}">
                  <a14:compatExt spid="_x0000_s246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469900</xdr:colOff>
          <xdr:row>145</xdr:row>
          <xdr:rowOff>69850</xdr:rowOff>
        </xdr:from>
        <xdr:to>
          <xdr:col>5</xdr:col>
          <xdr:colOff>635000</xdr:colOff>
          <xdr:row>145</xdr:row>
          <xdr:rowOff>254000</xdr:rowOff>
        </xdr:to>
        <xdr:sp macro="" textlink="">
          <xdr:nvSpPr>
            <xdr:cNvPr id="24655" name="OptionButton69" hidden="1">
              <a:extLst>
                <a:ext uri="{63B3BB69-23CF-44E3-9099-C40C66FF867C}">
                  <a14:compatExt spid="_x0000_s246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148</xdr:row>
          <xdr:rowOff>304800</xdr:rowOff>
        </xdr:from>
        <xdr:to>
          <xdr:col>5</xdr:col>
          <xdr:colOff>641350</xdr:colOff>
          <xdr:row>149</xdr:row>
          <xdr:rowOff>158750</xdr:rowOff>
        </xdr:to>
        <xdr:sp macro="" textlink="">
          <xdr:nvSpPr>
            <xdr:cNvPr id="24656" name="OptionButton70" hidden="1">
              <a:extLst>
                <a:ext uri="{63B3BB69-23CF-44E3-9099-C40C66FF867C}">
                  <a14:compatExt spid="_x0000_s246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450850</xdr:colOff>
          <xdr:row>8</xdr:row>
          <xdr:rowOff>184150</xdr:rowOff>
        </xdr:from>
        <xdr:to>
          <xdr:col>1</xdr:col>
          <xdr:colOff>615950</xdr:colOff>
          <xdr:row>9</xdr:row>
          <xdr:rowOff>38100</xdr:rowOff>
        </xdr:to>
        <xdr:sp macro="" textlink="">
          <xdr:nvSpPr>
            <xdr:cNvPr id="25601" name="OptionButton1" hidden="1">
              <a:extLst>
                <a:ext uri="{63B3BB69-23CF-44E3-9099-C40C66FF867C}">
                  <a14:compatExt spid="_x0000_s256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412750</xdr:colOff>
          <xdr:row>15</xdr:row>
          <xdr:rowOff>0</xdr:rowOff>
        </xdr:from>
        <xdr:to>
          <xdr:col>1</xdr:col>
          <xdr:colOff>571500</xdr:colOff>
          <xdr:row>16</xdr:row>
          <xdr:rowOff>0</xdr:rowOff>
        </xdr:to>
        <xdr:sp macro="" textlink="">
          <xdr:nvSpPr>
            <xdr:cNvPr id="25602" name="OptionButton2" hidden="1">
              <a:extLst>
                <a:ext uri="{63B3BB69-23CF-44E3-9099-C40C66FF867C}">
                  <a14:compatExt spid="_x0000_s256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21</xdr:row>
          <xdr:rowOff>0</xdr:rowOff>
        </xdr:from>
        <xdr:to>
          <xdr:col>1</xdr:col>
          <xdr:colOff>577850</xdr:colOff>
          <xdr:row>21</xdr:row>
          <xdr:rowOff>184150</xdr:rowOff>
        </xdr:to>
        <xdr:sp macro="" textlink="">
          <xdr:nvSpPr>
            <xdr:cNvPr id="25603" name="OptionButton3" hidden="1">
              <a:extLst>
                <a:ext uri="{63B3BB69-23CF-44E3-9099-C40C66FF867C}">
                  <a14:compatExt spid="_x0000_s256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26</xdr:row>
          <xdr:rowOff>76200</xdr:rowOff>
        </xdr:from>
        <xdr:to>
          <xdr:col>1</xdr:col>
          <xdr:colOff>622300</xdr:colOff>
          <xdr:row>27</xdr:row>
          <xdr:rowOff>76200</xdr:rowOff>
        </xdr:to>
        <xdr:sp macro="" textlink="">
          <xdr:nvSpPr>
            <xdr:cNvPr id="25604" name="OptionButton4" hidden="1">
              <a:extLst>
                <a:ext uri="{63B3BB69-23CF-44E3-9099-C40C66FF867C}">
                  <a14:compatExt spid="_x0000_s256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31</xdr:row>
          <xdr:rowOff>95250</xdr:rowOff>
        </xdr:from>
        <xdr:to>
          <xdr:col>1</xdr:col>
          <xdr:colOff>603250</xdr:colOff>
          <xdr:row>32</xdr:row>
          <xdr:rowOff>95250</xdr:rowOff>
        </xdr:to>
        <xdr:sp macro="" textlink="">
          <xdr:nvSpPr>
            <xdr:cNvPr id="25605" name="OptionButton5" hidden="1">
              <a:extLst>
                <a:ext uri="{63B3BB69-23CF-44E3-9099-C40C66FF867C}">
                  <a14:compatExt spid="_x0000_s256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469900</xdr:colOff>
          <xdr:row>8</xdr:row>
          <xdr:rowOff>171450</xdr:rowOff>
        </xdr:from>
        <xdr:to>
          <xdr:col>5</xdr:col>
          <xdr:colOff>635000</xdr:colOff>
          <xdr:row>9</xdr:row>
          <xdr:rowOff>25400</xdr:rowOff>
        </xdr:to>
        <xdr:sp macro="" textlink="">
          <xdr:nvSpPr>
            <xdr:cNvPr id="25606" name="OptionButton6" hidden="1">
              <a:extLst>
                <a:ext uri="{63B3BB69-23CF-44E3-9099-C40C66FF867C}">
                  <a14:compatExt spid="_x0000_s256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488950</xdr:colOff>
          <xdr:row>15</xdr:row>
          <xdr:rowOff>0</xdr:rowOff>
        </xdr:from>
        <xdr:to>
          <xdr:col>5</xdr:col>
          <xdr:colOff>647700</xdr:colOff>
          <xdr:row>16</xdr:row>
          <xdr:rowOff>0</xdr:rowOff>
        </xdr:to>
        <xdr:sp macro="" textlink="">
          <xdr:nvSpPr>
            <xdr:cNvPr id="25607" name="OptionButton7" hidden="1">
              <a:extLst>
                <a:ext uri="{63B3BB69-23CF-44E3-9099-C40C66FF867C}">
                  <a14:compatExt spid="_x0000_s256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476250</xdr:colOff>
          <xdr:row>21</xdr:row>
          <xdr:rowOff>0</xdr:rowOff>
        </xdr:from>
        <xdr:to>
          <xdr:col>5</xdr:col>
          <xdr:colOff>635000</xdr:colOff>
          <xdr:row>21</xdr:row>
          <xdr:rowOff>184150</xdr:rowOff>
        </xdr:to>
        <xdr:sp macro="" textlink="">
          <xdr:nvSpPr>
            <xdr:cNvPr id="25608" name="OptionButton8" hidden="1">
              <a:extLst>
                <a:ext uri="{63B3BB69-23CF-44E3-9099-C40C66FF867C}">
                  <a14:compatExt spid="_x0000_s256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26</xdr:row>
          <xdr:rowOff>57150</xdr:rowOff>
        </xdr:from>
        <xdr:to>
          <xdr:col>5</xdr:col>
          <xdr:colOff>666750</xdr:colOff>
          <xdr:row>27</xdr:row>
          <xdr:rowOff>57150</xdr:rowOff>
        </xdr:to>
        <xdr:sp macro="" textlink="">
          <xdr:nvSpPr>
            <xdr:cNvPr id="25609" name="OptionButton9" hidden="1">
              <a:extLst>
                <a:ext uri="{63B3BB69-23CF-44E3-9099-C40C66FF867C}">
                  <a14:compatExt spid="_x0000_s256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469900</xdr:colOff>
          <xdr:row>31</xdr:row>
          <xdr:rowOff>76200</xdr:rowOff>
        </xdr:from>
        <xdr:to>
          <xdr:col>5</xdr:col>
          <xdr:colOff>635000</xdr:colOff>
          <xdr:row>32</xdr:row>
          <xdr:rowOff>76200</xdr:rowOff>
        </xdr:to>
        <xdr:sp macro="" textlink="">
          <xdr:nvSpPr>
            <xdr:cNvPr id="25610" name="OptionButton10" hidden="1">
              <a:extLst>
                <a:ext uri="{63B3BB69-23CF-44E3-9099-C40C66FF867C}">
                  <a14:compatExt spid="_x0000_s256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889000</xdr:colOff>
          <xdr:row>7</xdr:row>
          <xdr:rowOff>279400</xdr:rowOff>
        </xdr:from>
        <xdr:to>
          <xdr:col>1</xdr:col>
          <xdr:colOff>1054100</xdr:colOff>
          <xdr:row>8</xdr:row>
          <xdr:rowOff>133350</xdr:rowOff>
        </xdr:to>
        <xdr:sp macro="" textlink="">
          <xdr:nvSpPr>
            <xdr:cNvPr id="26625" name="OptionButton1" hidden="1">
              <a:extLst>
                <a:ext uri="{63B3BB69-23CF-44E3-9099-C40C66FF867C}">
                  <a14:compatExt spid="_x0000_s266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831850</xdr:colOff>
          <xdr:row>12</xdr:row>
          <xdr:rowOff>209550</xdr:rowOff>
        </xdr:from>
        <xdr:to>
          <xdr:col>1</xdr:col>
          <xdr:colOff>996950</xdr:colOff>
          <xdr:row>13</xdr:row>
          <xdr:rowOff>63500</xdr:rowOff>
        </xdr:to>
        <xdr:sp macro="" textlink="">
          <xdr:nvSpPr>
            <xdr:cNvPr id="26626" name="OptionButton2" hidden="1">
              <a:extLst>
                <a:ext uri="{63B3BB69-23CF-44E3-9099-C40C66FF867C}">
                  <a14:compatExt spid="_x0000_s266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819150</xdr:colOff>
          <xdr:row>15</xdr:row>
          <xdr:rowOff>298450</xdr:rowOff>
        </xdr:from>
        <xdr:to>
          <xdr:col>1</xdr:col>
          <xdr:colOff>977900</xdr:colOff>
          <xdr:row>16</xdr:row>
          <xdr:rowOff>152400</xdr:rowOff>
        </xdr:to>
        <xdr:sp macro="" textlink="">
          <xdr:nvSpPr>
            <xdr:cNvPr id="26627" name="OptionButton3" hidden="1">
              <a:extLst>
                <a:ext uri="{63B3BB69-23CF-44E3-9099-C40C66FF867C}">
                  <a14:compatExt spid="_x0000_s266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819150</xdr:colOff>
          <xdr:row>19</xdr:row>
          <xdr:rowOff>203200</xdr:rowOff>
        </xdr:from>
        <xdr:to>
          <xdr:col>1</xdr:col>
          <xdr:colOff>984250</xdr:colOff>
          <xdr:row>20</xdr:row>
          <xdr:rowOff>57150</xdr:rowOff>
        </xdr:to>
        <xdr:sp macro="" textlink="">
          <xdr:nvSpPr>
            <xdr:cNvPr id="26628" name="OptionButton4" hidden="1">
              <a:extLst>
                <a:ext uri="{63B3BB69-23CF-44E3-9099-C40C66FF867C}">
                  <a14:compatExt spid="_x0000_s266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831850</xdr:colOff>
          <xdr:row>22</xdr:row>
          <xdr:rowOff>209550</xdr:rowOff>
        </xdr:from>
        <xdr:to>
          <xdr:col>1</xdr:col>
          <xdr:colOff>996950</xdr:colOff>
          <xdr:row>23</xdr:row>
          <xdr:rowOff>63500</xdr:rowOff>
        </xdr:to>
        <xdr:sp macro="" textlink="">
          <xdr:nvSpPr>
            <xdr:cNvPr id="26629" name="OptionButton5" hidden="1">
              <a:extLst>
                <a:ext uri="{63B3BB69-23CF-44E3-9099-C40C66FF867C}">
                  <a14:compatExt spid="_x0000_s266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927100</xdr:colOff>
          <xdr:row>7</xdr:row>
          <xdr:rowOff>279400</xdr:rowOff>
        </xdr:from>
        <xdr:to>
          <xdr:col>5</xdr:col>
          <xdr:colOff>1092200</xdr:colOff>
          <xdr:row>8</xdr:row>
          <xdr:rowOff>133350</xdr:rowOff>
        </xdr:to>
        <xdr:sp macro="" textlink="">
          <xdr:nvSpPr>
            <xdr:cNvPr id="26630" name="OptionButton6" hidden="1">
              <a:extLst>
                <a:ext uri="{63B3BB69-23CF-44E3-9099-C40C66FF867C}">
                  <a14:compatExt spid="_x0000_s266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933450</xdr:colOff>
          <xdr:row>12</xdr:row>
          <xdr:rowOff>203200</xdr:rowOff>
        </xdr:from>
        <xdr:to>
          <xdr:col>5</xdr:col>
          <xdr:colOff>1098550</xdr:colOff>
          <xdr:row>13</xdr:row>
          <xdr:rowOff>57150</xdr:rowOff>
        </xdr:to>
        <xdr:sp macro="" textlink="">
          <xdr:nvSpPr>
            <xdr:cNvPr id="26631" name="OptionButton7" hidden="1">
              <a:extLst>
                <a:ext uri="{63B3BB69-23CF-44E3-9099-C40C66FF867C}">
                  <a14:compatExt spid="_x0000_s266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927100</xdr:colOff>
          <xdr:row>15</xdr:row>
          <xdr:rowOff>279400</xdr:rowOff>
        </xdr:from>
        <xdr:to>
          <xdr:col>5</xdr:col>
          <xdr:colOff>1085850</xdr:colOff>
          <xdr:row>16</xdr:row>
          <xdr:rowOff>133350</xdr:rowOff>
        </xdr:to>
        <xdr:sp macro="" textlink="">
          <xdr:nvSpPr>
            <xdr:cNvPr id="26632" name="OptionButton8" hidden="1">
              <a:extLst>
                <a:ext uri="{63B3BB69-23CF-44E3-9099-C40C66FF867C}">
                  <a14:compatExt spid="_x0000_s266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933450</xdr:colOff>
          <xdr:row>19</xdr:row>
          <xdr:rowOff>222250</xdr:rowOff>
        </xdr:from>
        <xdr:to>
          <xdr:col>5</xdr:col>
          <xdr:colOff>1092200</xdr:colOff>
          <xdr:row>20</xdr:row>
          <xdr:rowOff>76200</xdr:rowOff>
        </xdr:to>
        <xdr:sp macro="" textlink="">
          <xdr:nvSpPr>
            <xdr:cNvPr id="26633" name="OptionButton9" hidden="1">
              <a:extLst>
                <a:ext uri="{63B3BB69-23CF-44E3-9099-C40C66FF867C}">
                  <a14:compatExt spid="_x0000_s266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933450</xdr:colOff>
          <xdr:row>22</xdr:row>
          <xdr:rowOff>222250</xdr:rowOff>
        </xdr:from>
        <xdr:to>
          <xdr:col>5</xdr:col>
          <xdr:colOff>1098550</xdr:colOff>
          <xdr:row>23</xdr:row>
          <xdr:rowOff>76200</xdr:rowOff>
        </xdr:to>
        <xdr:sp macro="" textlink="">
          <xdr:nvSpPr>
            <xdr:cNvPr id="26634" name="OptionButton10" hidden="1">
              <a:extLst>
                <a:ext uri="{63B3BB69-23CF-44E3-9099-C40C66FF867C}">
                  <a14:compatExt spid="_x0000_s266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488950</xdr:colOff>
          <xdr:row>9</xdr:row>
          <xdr:rowOff>323850</xdr:rowOff>
        </xdr:from>
        <xdr:to>
          <xdr:col>2</xdr:col>
          <xdr:colOff>654050</xdr:colOff>
          <xdr:row>10</xdr:row>
          <xdr:rowOff>12700</xdr:rowOff>
        </xdr:to>
        <xdr:sp macro="" textlink="">
          <xdr:nvSpPr>
            <xdr:cNvPr id="32769" name="OptionButton1" hidden="1">
              <a:extLst>
                <a:ext uri="{63B3BB69-23CF-44E3-9099-C40C66FF867C}">
                  <a14:compatExt spid="_x0000_s327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508000</xdr:colOff>
          <xdr:row>14</xdr:row>
          <xdr:rowOff>222250</xdr:rowOff>
        </xdr:from>
        <xdr:to>
          <xdr:col>2</xdr:col>
          <xdr:colOff>666750</xdr:colOff>
          <xdr:row>14</xdr:row>
          <xdr:rowOff>406400</xdr:rowOff>
        </xdr:to>
        <xdr:sp macro="" textlink="">
          <xdr:nvSpPr>
            <xdr:cNvPr id="32770" name="OptionButton2" hidden="1">
              <a:extLst>
                <a:ext uri="{63B3BB69-23CF-44E3-9099-C40C66FF867C}">
                  <a14:compatExt spid="_x0000_s327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18</xdr:row>
          <xdr:rowOff>317500</xdr:rowOff>
        </xdr:from>
        <xdr:to>
          <xdr:col>2</xdr:col>
          <xdr:colOff>641350</xdr:colOff>
          <xdr:row>19</xdr:row>
          <xdr:rowOff>120650</xdr:rowOff>
        </xdr:to>
        <xdr:sp macro="" textlink="">
          <xdr:nvSpPr>
            <xdr:cNvPr id="32771" name="OptionButton3" hidden="1">
              <a:extLst>
                <a:ext uri="{63B3BB69-23CF-44E3-9099-C40C66FF867C}">
                  <a14:compatExt spid="_x0000_s327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23</xdr:row>
          <xdr:rowOff>19050</xdr:rowOff>
        </xdr:from>
        <xdr:to>
          <xdr:col>2</xdr:col>
          <xdr:colOff>641350</xdr:colOff>
          <xdr:row>23</xdr:row>
          <xdr:rowOff>203200</xdr:rowOff>
        </xdr:to>
        <xdr:sp macro="" textlink="">
          <xdr:nvSpPr>
            <xdr:cNvPr id="32772" name="OptionButton4" hidden="1">
              <a:extLst>
                <a:ext uri="{63B3BB69-23CF-44E3-9099-C40C66FF867C}">
                  <a14:compatExt spid="_x0000_s327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488950</xdr:colOff>
          <xdr:row>26</xdr:row>
          <xdr:rowOff>19050</xdr:rowOff>
        </xdr:from>
        <xdr:to>
          <xdr:col>2</xdr:col>
          <xdr:colOff>654050</xdr:colOff>
          <xdr:row>26</xdr:row>
          <xdr:rowOff>203200</xdr:rowOff>
        </xdr:to>
        <xdr:sp macro="" textlink="">
          <xdr:nvSpPr>
            <xdr:cNvPr id="32773" name="OptionButton5" hidden="1">
              <a:extLst>
                <a:ext uri="{63B3BB69-23CF-44E3-9099-C40C66FF867C}">
                  <a14:compatExt spid="_x0000_s327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469900</xdr:colOff>
          <xdr:row>33</xdr:row>
          <xdr:rowOff>336550</xdr:rowOff>
        </xdr:from>
        <xdr:to>
          <xdr:col>2</xdr:col>
          <xdr:colOff>635000</xdr:colOff>
          <xdr:row>34</xdr:row>
          <xdr:rowOff>63500</xdr:rowOff>
        </xdr:to>
        <xdr:sp macro="" textlink="">
          <xdr:nvSpPr>
            <xdr:cNvPr id="32774" name="OptionButton6" hidden="1">
              <a:extLst>
                <a:ext uri="{63B3BB69-23CF-44E3-9099-C40C66FF867C}">
                  <a14:compatExt spid="_x0000_s327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46</xdr:row>
          <xdr:rowOff>114300</xdr:rowOff>
        </xdr:from>
        <xdr:to>
          <xdr:col>2</xdr:col>
          <xdr:colOff>615950</xdr:colOff>
          <xdr:row>46</xdr:row>
          <xdr:rowOff>298450</xdr:rowOff>
        </xdr:to>
        <xdr:sp macro="" textlink="">
          <xdr:nvSpPr>
            <xdr:cNvPr id="32777" name="OptionButton9" hidden="1">
              <a:extLst>
                <a:ext uri="{63B3BB69-23CF-44E3-9099-C40C66FF867C}">
                  <a14:compatExt spid="_x0000_s327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469900</xdr:colOff>
          <xdr:row>48</xdr:row>
          <xdr:rowOff>95250</xdr:rowOff>
        </xdr:from>
        <xdr:to>
          <xdr:col>2</xdr:col>
          <xdr:colOff>628650</xdr:colOff>
          <xdr:row>48</xdr:row>
          <xdr:rowOff>279400</xdr:rowOff>
        </xdr:to>
        <xdr:sp macro="" textlink="">
          <xdr:nvSpPr>
            <xdr:cNvPr id="32778" name="OptionButton10" hidden="1">
              <a:extLst>
                <a:ext uri="{63B3BB69-23CF-44E3-9099-C40C66FF867C}">
                  <a14:compatExt spid="_x0000_s327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508000</xdr:colOff>
          <xdr:row>9</xdr:row>
          <xdr:rowOff>279400</xdr:rowOff>
        </xdr:from>
        <xdr:to>
          <xdr:col>6</xdr:col>
          <xdr:colOff>666750</xdr:colOff>
          <xdr:row>9</xdr:row>
          <xdr:rowOff>463550</xdr:rowOff>
        </xdr:to>
        <xdr:sp macro="" textlink="">
          <xdr:nvSpPr>
            <xdr:cNvPr id="32779" name="OptionButton11" hidden="1">
              <a:extLst>
                <a:ext uri="{63B3BB69-23CF-44E3-9099-C40C66FF867C}">
                  <a14:compatExt spid="_x0000_s327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14</xdr:row>
          <xdr:rowOff>190500</xdr:rowOff>
        </xdr:from>
        <xdr:to>
          <xdr:col>6</xdr:col>
          <xdr:colOff>692150</xdr:colOff>
          <xdr:row>14</xdr:row>
          <xdr:rowOff>374650</xdr:rowOff>
        </xdr:to>
        <xdr:sp macro="" textlink="">
          <xdr:nvSpPr>
            <xdr:cNvPr id="32780" name="OptionButton12" hidden="1">
              <a:extLst>
                <a:ext uri="{63B3BB69-23CF-44E3-9099-C40C66FF867C}">
                  <a14:compatExt spid="_x0000_s327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18</xdr:row>
          <xdr:rowOff>247650</xdr:rowOff>
        </xdr:from>
        <xdr:to>
          <xdr:col>6</xdr:col>
          <xdr:colOff>679450</xdr:colOff>
          <xdr:row>19</xdr:row>
          <xdr:rowOff>50800</xdr:rowOff>
        </xdr:to>
        <xdr:sp macro="" textlink="">
          <xdr:nvSpPr>
            <xdr:cNvPr id="32781" name="OptionButton13" hidden="1">
              <a:extLst>
                <a:ext uri="{63B3BB69-23CF-44E3-9099-C40C66FF867C}">
                  <a14:compatExt spid="_x0000_s327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0</xdr:rowOff>
        </xdr:from>
        <xdr:to>
          <xdr:col>6</xdr:col>
          <xdr:colOff>679450</xdr:colOff>
          <xdr:row>23</xdr:row>
          <xdr:rowOff>184150</xdr:rowOff>
        </xdr:to>
        <xdr:sp macro="" textlink="">
          <xdr:nvSpPr>
            <xdr:cNvPr id="32782" name="OptionButton14" hidden="1">
              <a:extLst>
                <a:ext uri="{63B3BB69-23CF-44E3-9099-C40C66FF867C}">
                  <a14:compatExt spid="_x0000_s327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26</xdr:row>
          <xdr:rowOff>0</xdr:rowOff>
        </xdr:from>
        <xdr:to>
          <xdr:col>6</xdr:col>
          <xdr:colOff>660400</xdr:colOff>
          <xdr:row>26</xdr:row>
          <xdr:rowOff>184150</xdr:rowOff>
        </xdr:to>
        <xdr:sp macro="" textlink="">
          <xdr:nvSpPr>
            <xdr:cNvPr id="32783" name="OptionButton15" hidden="1">
              <a:extLst>
                <a:ext uri="{63B3BB69-23CF-44E3-9099-C40C66FF867C}">
                  <a14:compatExt spid="_x0000_s327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527050</xdr:colOff>
          <xdr:row>33</xdr:row>
          <xdr:rowOff>317500</xdr:rowOff>
        </xdr:from>
        <xdr:to>
          <xdr:col>6</xdr:col>
          <xdr:colOff>692150</xdr:colOff>
          <xdr:row>34</xdr:row>
          <xdr:rowOff>44450</xdr:rowOff>
        </xdr:to>
        <xdr:sp macro="" textlink="">
          <xdr:nvSpPr>
            <xdr:cNvPr id="32784" name="OptionButton16" hidden="1">
              <a:extLst>
                <a:ext uri="{63B3BB69-23CF-44E3-9099-C40C66FF867C}">
                  <a14:compatExt spid="_x0000_s327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38</xdr:row>
          <xdr:rowOff>152400</xdr:rowOff>
        </xdr:from>
        <xdr:to>
          <xdr:col>6</xdr:col>
          <xdr:colOff>660400</xdr:colOff>
          <xdr:row>38</xdr:row>
          <xdr:rowOff>336550</xdr:rowOff>
        </xdr:to>
        <xdr:sp macro="" textlink="">
          <xdr:nvSpPr>
            <xdr:cNvPr id="32785" name="OptionButton17" hidden="1">
              <a:extLst>
                <a:ext uri="{63B3BB69-23CF-44E3-9099-C40C66FF867C}">
                  <a14:compatExt spid="_x0000_s327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508000</xdr:colOff>
          <xdr:row>42</xdr:row>
          <xdr:rowOff>355600</xdr:rowOff>
        </xdr:from>
        <xdr:to>
          <xdr:col>6</xdr:col>
          <xdr:colOff>673100</xdr:colOff>
          <xdr:row>43</xdr:row>
          <xdr:rowOff>44450</xdr:rowOff>
        </xdr:to>
        <xdr:sp macro="" textlink="">
          <xdr:nvSpPr>
            <xdr:cNvPr id="32786" name="OptionButton18" hidden="1">
              <a:extLst>
                <a:ext uri="{63B3BB69-23CF-44E3-9099-C40C66FF867C}">
                  <a14:compatExt spid="_x0000_s327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46</xdr:row>
          <xdr:rowOff>127000</xdr:rowOff>
        </xdr:from>
        <xdr:to>
          <xdr:col>6</xdr:col>
          <xdr:colOff>654050</xdr:colOff>
          <xdr:row>46</xdr:row>
          <xdr:rowOff>311150</xdr:rowOff>
        </xdr:to>
        <xdr:sp macro="" textlink="">
          <xdr:nvSpPr>
            <xdr:cNvPr id="32787" name="OptionButton19" hidden="1">
              <a:extLst>
                <a:ext uri="{63B3BB69-23CF-44E3-9099-C40C66FF867C}">
                  <a14:compatExt spid="_x0000_s327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48</xdr:row>
          <xdr:rowOff>107950</xdr:rowOff>
        </xdr:from>
        <xdr:to>
          <xdr:col>6</xdr:col>
          <xdr:colOff>654050</xdr:colOff>
          <xdr:row>48</xdr:row>
          <xdr:rowOff>292100</xdr:rowOff>
        </xdr:to>
        <xdr:sp macro="" textlink="">
          <xdr:nvSpPr>
            <xdr:cNvPr id="32788" name="OptionButton20" hidden="1">
              <a:extLst>
                <a:ext uri="{63B3BB69-23CF-44E3-9099-C40C66FF867C}">
                  <a14:compatExt spid="_x0000_s327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412750</xdr:colOff>
          <xdr:row>10</xdr:row>
          <xdr:rowOff>0</xdr:rowOff>
        </xdr:from>
        <xdr:to>
          <xdr:col>1</xdr:col>
          <xdr:colOff>571500</xdr:colOff>
          <xdr:row>10</xdr:row>
          <xdr:rowOff>184150</xdr:rowOff>
        </xdr:to>
        <xdr:sp macro="" textlink="">
          <xdr:nvSpPr>
            <xdr:cNvPr id="33793" name="OptionButton1" hidden="1">
              <a:extLst>
                <a:ext uri="{63B3BB69-23CF-44E3-9099-C40C66FF867C}">
                  <a14:compatExt spid="_x0000_s337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14</xdr:row>
          <xdr:rowOff>76200</xdr:rowOff>
        </xdr:from>
        <xdr:to>
          <xdr:col>1</xdr:col>
          <xdr:colOff>577850</xdr:colOff>
          <xdr:row>14</xdr:row>
          <xdr:rowOff>260350</xdr:rowOff>
        </xdr:to>
        <xdr:sp macro="" textlink="">
          <xdr:nvSpPr>
            <xdr:cNvPr id="33794" name="OptionButton2" hidden="1">
              <a:extLst>
                <a:ext uri="{63B3BB69-23CF-44E3-9099-C40C66FF867C}">
                  <a14:compatExt spid="_x0000_s337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18</xdr:row>
          <xdr:rowOff>260350</xdr:rowOff>
        </xdr:from>
        <xdr:to>
          <xdr:col>1</xdr:col>
          <xdr:colOff>622300</xdr:colOff>
          <xdr:row>19</xdr:row>
          <xdr:rowOff>63500</xdr:rowOff>
        </xdr:to>
        <xdr:sp macro="" textlink="">
          <xdr:nvSpPr>
            <xdr:cNvPr id="33795" name="OptionButton3" hidden="1">
              <a:extLst>
                <a:ext uri="{63B3BB69-23CF-44E3-9099-C40C66FF867C}">
                  <a14:compatExt spid="_x0000_s337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412750</xdr:colOff>
          <xdr:row>23</xdr:row>
          <xdr:rowOff>0</xdr:rowOff>
        </xdr:from>
        <xdr:to>
          <xdr:col>1</xdr:col>
          <xdr:colOff>577850</xdr:colOff>
          <xdr:row>23</xdr:row>
          <xdr:rowOff>184150</xdr:rowOff>
        </xdr:to>
        <xdr:sp macro="" textlink="">
          <xdr:nvSpPr>
            <xdr:cNvPr id="33796" name="OptionButton4" hidden="1">
              <a:extLst>
                <a:ext uri="{63B3BB69-23CF-44E3-9099-C40C66FF867C}">
                  <a14:compatExt spid="_x0000_s337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26</xdr:row>
          <xdr:rowOff>0</xdr:rowOff>
        </xdr:from>
        <xdr:to>
          <xdr:col>1</xdr:col>
          <xdr:colOff>584200</xdr:colOff>
          <xdr:row>26</xdr:row>
          <xdr:rowOff>184150</xdr:rowOff>
        </xdr:to>
        <xdr:sp macro="" textlink="">
          <xdr:nvSpPr>
            <xdr:cNvPr id="33797" name="OptionButton5" hidden="1">
              <a:extLst>
                <a:ext uri="{63B3BB69-23CF-44E3-9099-C40C66FF867C}">
                  <a14:compatExt spid="_x0000_s337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412750</xdr:colOff>
          <xdr:row>31</xdr:row>
          <xdr:rowOff>152400</xdr:rowOff>
        </xdr:from>
        <xdr:to>
          <xdr:col>1</xdr:col>
          <xdr:colOff>571500</xdr:colOff>
          <xdr:row>32</xdr:row>
          <xdr:rowOff>69850</xdr:rowOff>
        </xdr:to>
        <xdr:sp macro="" textlink="">
          <xdr:nvSpPr>
            <xdr:cNvPr id="33798" name="OptionButton6" hidden="1">
              <a:extLst>
                <a:ext uri="{63B3BB69-23CF-44E3-9099-C40C66FF867C}">
                  <a14:compatExt spid="_x0000_s337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36</xdr:row>
          <xdr:rowOff>57150</xdr:rowOff>
        </xdr:from>
        <xdr:to>
          <xdr:col>1</xdr:col>
          <xdr:colOff>558800</xdr:colOff>
          <xdr:row>36</xdr:row>
          <xdr:rowOff>241300</xdr:rowOff>
        </xdr:to>
        <xdr:sp macro="" textlink="">
          <xdr:nvSpPr>
            <xdr:cNvPr id="33799" name="OptionButton7" hidden="1">
              <a:extLst>
                <a:ext uri="{63B3BB69-23CF-44E3-9099-C40C66FF867C}">
                  <a14:compatExt spid="_x0000_s337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40</xdr:row>
          <xdr:rowOff>266700</xdr:rowOff>
        </xdr:from>
        <xdr:to>
          <xdr:col>1</xdr:col>
          <xdr:colOff>546100</xdr:colOff>
          <xdr:row>41</xdr:row>
          <xdr:rowOff>120650</xdr:rowOff>
        </xdr:to>
        <xdr:sp macro="" textlink="">
          <xdr:nvSpPr>
            <xdr:cNvPr id="33800" name="OptionButton8" hidden="1">
              <a:extLst>
                <a:ext uri="{63B3BB69-23CF-44E3-9099-C40C66FF867C}">
                  <a14:compatExt spid="_x0000_s338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412750</xdr:colOff>
          <xdr:row>44</xdr:row>
          <xdr:rowOff>495300</xdr:rowOff>
        </xdr:from>
        <xdr:to>
          <xdr:col>1</xdr:col>
          <xdr:colOff>577850</xdr:colOff>
          <xdr:row>44</xdr:row>
          <xdr:rowOff>679450</xdr:rowOff>
        </xdr:to>
        <xdr:sp macro="" textlink="">
          <xdr:nvSpPr>
            <xdr:cNvPr id="33801" name="OptionButton9" hidden="1">
              <a:extLst>
                <a:ext uri="{63B3BB69-23CF-44E3-9099-C40C66FF867C}">
                  <a14:compatExt spid="_x0000_s338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46</xdr:row>
          <xdr:rowOff>114300</xdr:rowOff>
        </xdr:from>
        <xdr:to>
          <xdr:col>1</xdr:col>
          <xdr:colOff>527050</xdr:colOff>
          <xdr:row>46</xdr:row>
          <xdr:rowOff>298450</xdr:rowOff>
        </xdr:to>
        <xdr:sp macro="" textlink="">
          <xdr:nvSpPr>
            <xdr:cNvPr id="33802" name="OptionButton10" hidden="1">
              <a:extLst>
                <a:ext uri="{63B3BB69-23CF-44E3-9099-C40C66FF867C}">
                  <a14:compatExt spid="_x0000_s338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50</xdr:row>
          <xdr:rowOff>247650</xdr:rowOff>
        </xdr:from>
        <xdr:to>
          <xdr:col>1</xdr:col>
          <xdr:colOff>558800</xdr:colOff>
          <xdr:row>50</xdr:row>
          <xdr:rowOff>431800</xdr:rowOff>
        </xdr:to>
        <xdr:sp macro="" textlink="">
          <xdr:nvSpPr>
            <xdr:cNvPr id="33804" name="OptionButton11" hidden="1">
              <a:extLst>
                <a:ext uri="{63B3BB69-23CF-44E3-9099-C40C66FF867C}">
                  <a14:compatExt spid="_x0000_s338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52</xdr:row>
          <xdr:rowOff>152400</xdr:rowOff>
        </xdr:from>
        <xdr:to>
          <xdr:col>1</xdr:col>
          <xdr:colOff>558800</xdr:colOff>
          <xdr:row>52</xdr:row>
          <xdr:rowOff>336550</xdr:rowOff>
        </xdr:to>
        <xdr:sp macro="" textlink="">
          <xdr:nvSpPr>
            <xdr:cNvPr id="33805" name="OptionButton12" hidden="1">
              <a:extLst>
                <a:ext uri="{63B3BB69-23CF-44E3-9099-C40C66FF867C}">
                  <a14:compatExt spid="_x0000_s338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53</xdr:row>
          <xdr:rowOff>152400</xdr:rowOff>
        </xdr:from>
        <xdr:to>
          <xdr:col>1</xdr:col>
          <xdr:colOff>565150</xdr:colOff>
          <xdr:row>54</xdr:row>
          <xdr:rowOff>6350</xdr:rowOff>
        </xdr:to>
        <xdr:sp macro="" textlink="">
          <xdr:nvSpPr>
            <xdr:cNvPr id="33806" name="OptionButton13" hidden="1">
              <a:extLst>
                <a:ext uri="{63B3BB69-23CF-44E3-9099-C40C66FF867C}">
                  <a14:compatExt spid="_x0000_s338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55</xdr:row>
          <xdr:rowOff>57150</xdr:rowOff>
        </xdr:from>
        <xdr:to>
          <xdr:col>1</xdr:col>
          <xdr:colOff>565150</xdr:colOff>
          <xdr:row>55</xdr:row>
          <xdr:rowOff>241300</xdr:rowOff>
        </xdr:to>
        <xdr:sp macro="" textlink="">
          <xdr:nvSpPr>
            <xdr:cNvPr id="33807" name="OptionButton14" hidden="1">
              <a:extLst>
                <a:ext uri="{63B3BB69-23CF-44E3-9099-C40C66FF867C}">
                  <a14:compatExt spid="_x0000_s338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56</xdr:row>
          <xdr:rowOff>203200</xdr:rowOff>
        </xdr:from>
        <xdr:to>
          <xdr:col>1</xdr:col>
          <xdr:colOff>565150</xdr:colOff>
          <xdr:row>57</xdr:row>
          <xdr:rowOff>57150</xdr:rowOff>
        </xdr:to>
        <xdr:sp macro="" textlink="">
          <xdr:nvSpPr>
            <xdr:cNvPr id="33808" name="OptionButton15" hidden="1">
              <a:extLst>
                <a:ext uri="{63B3BB69-23CF-44E3-9099-C40C66FF867C}">
                  <a14:compatExt spid="_x0000_s338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10</xdr:row>
          <xdr:rowOff>0</xdr:rowOff>
        </xdr:from>
        <xdr:to>
          <xdr:col>5</xdr:col>
          <xdr:colOff>565150</xdr:colOff>
          <xdr:row>10</xdr:row>
          <xdr:rowOff>184150</xdr:rowOff>
        </xdr:to>
        <xdr:sp macro="" textlink="">
          <xdr:nvSpPr>
            <xdr:cNvPr id="33809" name="OptionButton16" hidden="1">
              <a:extLst>
                <a:ext uri="{63B3BB69-23CF-44E3-9099-C40C66FF867C}">
                  <a14:compatExt spid="_x0000_s338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14</xdr:row>
          <xdr:rowOff>69850</xdr:rowOff>
        </xdr:from>
        <xdr:to>
          <xdr:col>5</xdr:col>
          <xdr:colOff>584200</xdr:colOff>
          <xdr:row>14</xdr:row>
          <xdr:rowOff>254000</xdr:rowOff>
        </xdr:to>
        <xdr:sp macro="" textlink="">
          <xdr:nvSpPr>
            <xdr:cNvPr id="33810" name="OptionButton17" hidden="1">
              <a:extLst>
                <a:ext uri="{63B3BB69-23CF-44E3-9099-C40C66FF867C}">
                  <a14:compatExt spid="_x0000_s338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412750</xdr:colOff>
          <xdr:row>18</xdr:row>
          <xdr:rowOff>266700</xdr:rowOff>
        </xdr:from>
        <xdr:to>
          <xdr:col>5</xdr:col>
          <xdr:colOff>577850</xdr:colOff>
          <xdr:row>19</xdr:row>
          <xdr:rowOff>69850</xdr:rowOff>
        </xdr:to>
        <xdr:sp macro="" textlink="">
          <xdr:nvSpPr>
            <xdr:cNvPr id="33811" name="OptionButton18" hidden="1">
              <a:extLst>
                <a:ext uri="{63B3BB69-23CF-44E3-9099-C40C66FF867C}">
                  <a14:compatExt spid="_x0000_s338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412750</xdr:colOff>
          <xdr:row>23</xdr:row>
          <xdr:rowOff>0</xdr:rowOff>
        </xdr:from>
        <xdr:to>
          <xdr:col>5</xdr:col>
          <xdr:colOff>571500</xdr:colOff>
          <xdr:row>23</xdr:row>
          <xdr:rowOff>184150</xdr:rowOff>
        </xdr:to>
        <xdr:sp macro="" textlink="">
          <xdr:nvSpPr>
            <xdr:cNvPr id="33812" name="OptionButton19" hidden="1">
              <a:extLst>
                <a:ext uri="{63B3BB69-23CF-44E3-9099-C40C66FF867C}">
                  <a14:compatExt spid="_x0000_s338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25</xdr:row>
          <xdr:rowOff>317500</xdr:rowOff>
        </xdr:from>
        <xdr:to>
          <xdr:col>5</xdr:col>
          <xdr:colOff>590550</xdr:colOff>
          <xdr:row>26</xdr:row>
          <xdr:rowOff>171450</xdr:rowOff>
        </xdr:to>
        <xdr:sp macro="" textlink="">
          <xdr:nvSpPr>
            <xdr:cNvPr id="33813" name="OptionButton20" hidden="1">
              <a:extLst>
                <a:ext uri="{63B3BB69-23CF-44E3-9099-C40C66FF867C}">
                  <a14:compatExt spid="_x0000_s338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412750</xdr:colOff>
          <xdr:row>31</xdr:row>
          <xdr:rowOff>165100</xdr:rowOff>
        </xdr:from>
        <xdr:to>
          <xdr:col>5</xdr:col>
          <xdr:colOff>577850</xdr:colOff>
          <xdr:row>32</xdr:row>
          <xdr:rowOff>82550</xdr:rowOff>
        </xdr:to>
        <xdr:sp macro="" textlink="">
          <xdr:nvSpPr>
            <xdr:cNvPr id="33814" name="OptionButton21" hidden="1">
              <a:extLst>
                <a:ext uri="{63B3BB69-23CF-44E3-9099-C40C66FF867C}">
                  <a14:compatExt spid="_x0000_s338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36</xdr:row>
          <xdr:rowOff>76200</xdr:rowOff>
        </xdr:from>
        <xdr:to>
          <xdr:col>5</xdr:col>
          <xdr:colOff>596900</xdr:colOff>
          <xdr:row>36</xdr:row>
          <xdr:rowOff>260350</xdr:rowOff>
        </xdr:to>
        <xdr:sp macro="" textlink="">
          <xdr:nvSpPr>
            <xdr:cNvPr id="33815" name="OptionButton22" hidden="1">
              <a:extLst>
                <a:ext uri="{63B3BB69-23CF-44E3-9099-C40C66FF867C}">
                  <a14:compatExt spid="_x0000_s338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412750</xdr:colOff>
          <xdr:row>40</xdr:row>
          <xdr:rowOff>298450</xdr:rowOff>
        </xdr:from>
        <xdr:to>
          <xdr:col>5</xdr:col>
          <xdr:colOff>571500</xdr:colOff>
          <xdr:row>41</xdr:row>
          <xdr:rowOff>152400</xdr:rowOff>
        </xdr:to>
        <xdr:sp macro="" textlink="">
          <xdr:nvSpPr>
            <xdr:cNvPr id="33816" name="OptionButton23" hidden="1">
              <a:extLst>
                <a:ext uri="{63B3BB69-23CF-44E3-9099-C40C66FF867C}">
                  <a14:compatExt spid="_x0000_s338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44</xdr:row>
          <xdr:rowOff>488950</xdr:rowOff>
        </xdr:from>
        <xdr:to>
          <xdr:col>5</xdr:col>
          <xdr:colOff>577850</xdr:colOff>
          <xdr:row>44</xdr:row>
          <xdr:rowOff>673100</xdr:rowOff>
        </xdr:to>
        <xdr:sp macro="" textlink="">
          <xdr:nvSpPr>
            <xdr:cNvPr id="33817" name="OptionButton24" hidden="1">
              <a:extLst>
                <a:ext uri="{63B3BB69-23CF-44E3-9099-C40C66FF867C}">
                  <a14:compatExt spid="_x0000_s338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412750</xdr:colOff>
          <xdr:row>46</xdr:row>
          <xdr:rowOff>146050</xdr:rowOff>
        </xdr:from>
        <xdr:to>
          <xdr:col>5</xdr:col>
          <xdr:colOff>577850</xdr:colOff>
          <xdr:row>47</xdr:row>
          <xdr:rowOff>0</xdr:rowOff>
        </xdr:to>
        <xdr:sp macro="" textlink="">
          <xdr:nvSpPr>
            <xdr:cNvPr id="33818" name="OptionButton25" hidden="1">
              <a:extLst>
                <a:ext uri="{63B3BB69-23CF-44E3-9099-C40C66FF867C}">
                  <a14:compatExt spid="_x0000_s338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412750</xdr:colOff>
          <xdr:row>50</xdr:row>
          <xdr:rowOff>260350</xdr:rowOff>
        </xdr:from>
        <xdr:to>
          <xdr:col>5</xdr:col>
          <xdr:colOff>571500</xdr:colOff>
          <xdr:row>50</xdr:row>
          <xdr:rowOff>444500</xdr:rowOff>
        </xdr:to>
        <xdr:sp macro="" textlink="">
          <xdr:nvSpPr>
            <xdr:cNvPr id="33819" name="OptionButton26" hidden="1">
              <a:extLst>
                <a:ext uri="{63B3BB69-23CF-44E3-9099-C40C66FF867C}">
                  <a14:compatExt spid="_x0000_s338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412750</xdr:colOff>
          <xdr:row>53</xdr:row>
          <xdr:rowOff>171450</xdr:rowOff>
        </xdr:from>
        <xdr:to>
          <xdr:col>5</xdr:col>
          <xdr:colOff>577850</xdr:colOff>
          <xdr:row>54</xdr:row>
          <xdr:rowOff>25400</xdr:rowOff>
        </xdr:to>
        <xdr:sp macro="" textlink="">
          <xdr:nvSpPr>
            <xdr:cNvPr id="33821" name="OptionButton28" hidden="1">
              <a:extLst>
                <a:ext uri="{63B3BB69-23CF-44E3-9099-C40C66FF867C}">
                  <a14:compatExt spid="_x0000_s338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412750</xdr:colOff>
          <xdr:row>56</xdr:row>
          <xdr:rowOff>133350</xdr:rowOff>
        </xdr:from>
        <xdr:to>
          <xdr:col>5</xdr:col>
          <xdr:colOff>571500</xdr:colOff>
          <xdr:row>56</xdr:row>
          <xdr:rowOff>317500</xdr:rowOff>
        </xdr:to>
        <xdr:sp macro="" textlink="">
          <xdr:nvSpPr>
            <xdr:cNvPr id="33823" name="OptionButton30" hidden="1">
              <a:extLst>
                <a:ext uri="{63B3BB69-23CF-44E3-9099-C40C66FF867C}">
                  <a14:compatExt spid="_x0000_s338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393700</xdr:colOff>
          <xdr:row>8</xdr:row>
          <xdr:rowOff>19050</xdr:rowOff>
        </xdr:from>
        <xdr:to>
          <xdr:col>1</xdr:col>
          <xdr:colOff>558800</xdr:colOff>
          <xdr:row>8</xdr:row>
          <xdr:rowOff>177800</xdr:rowOff>
        </xdr:to>
        <xdr:sp macro="" textlink="">
          <xdr:nvSpPr>
            <xdr:cNvPr id="39937" name="OptionButton1" hidden="1">
              <a:extLst>
                <a:ext uri="{63B3BB69-23CF-44E3-9099-C40C66FF867C}">
                  <a14:compatExt spid="_x0000_s399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12</xdr:row>
          <xdr:rowOff>152400</xdr:rowOff>
        </xdr:from>
        <xdr:to>
          <xdr:col>1</xdr:col>
          <xdr:colOff>539750</xdr:colOff>
          <xdr:row>13</xdr:row>
          <xdr:rowOff>120650</xdr:rowOff>
        </xdr:to>
        <xdr:sp macro="" textlink="">
          <xdr:nvSpPr>
            <xdr:cNvPr id="39938" name="OptionButton2" hidden="1">
              <a:extLst>
                <a:ext uri="{63B3BB69-23CF-44E3-9099-C40C66FF867C}">
                  <a14:compatExt spid="_x0000_s399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374650</xdr:colOff>
          <xdr:row>18</xdr:row>
          <xdr:rowOff>19050</xdr:rowOff>
        </xdr:from>
        <xdr:to>
          <xdr:col>1</xdr:col>
          <xdr:colOff>533400</xdr:colOff>
          <xdr:row>18</xdr:row>
          <xdr:rowOff>177800</xdr:rowOff>
        </xdr:to>
        <xdr:sp macro="" textlink="">
          <xdr:nvSpPr>
            <xdr:cNvPr id="39939" name="OptionButton3" hidden="1">
              <a:extLst>
                <a:ext uri="{63B3BB69-23CF-44E3-9099-C40C66FF867C}">
                  <a14:compatExt spid="_x0000_s399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22</xdr:row>
          <xdr:rowOff>57150</xdr:rowOff>
        </xdr:from>
        <xdr:to>
          <xdr:col>1</xdr:col>
          <xdr:colOff>520700</xdr:colOff>
          <xdr:row>23</xdr:row>
          <xdr:rowOff>25400</xdr:rowOff>
        </xdr:to>
        <xdr:sp macro="" textlink="">
          <xdr:nvSpPr>
            <xdr:cNvPr id="39940" name="OptionButton4" hidden="1">
              <a:extLst>
                <a:ext uri="{63B3BB69-23CF-44E3-9099-C40C66FF867C}">
                  <a14:compatExt spid="_x0000_s399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355600</xdr:colOff>
          <xdr:row>27</xdr:row>
          <xdr:rowOff>38100</xdr:rowOff>
        </xdr:from>
        <xdr:to>
          <xdr:col>1</xdr:col>
          <xdr:colOff>520700</xdr:colOff>
          <xdr:row>28</xdr:row>
          <xdr:rowOff>6350</xdr:rowOff>
        </xdr:to>
        <xdr:sp macro="" textlink="">
          <xdr:nvSpPr>
            <xdr:cNvPr id="39941" name="OptionButton5" hidden="1">
              <a:extLst>
                <a:ext uri="{63B3BB69-23CF-44E3-9099-C40C66FF867C}">
                  <a14:compatExt spid="_x0000_s399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355600</xdr:colOff>
          <xdr:row>8</xdr:row>
          <xdr:rowOff>31750</xdr:rowOff>
        </xdr:from>
        <xdr:to>
          <xdr:col>5</xdr:col>
          <xdr:colOff>520700</xdr:colOff>
          <xdr:row>9</xdr:row>
          <xdr:rowOff>0</xdr:rowOff>
        </xdr:to>
        <xdr:sp macro="" textlink="">
          <xdr:nvSpPr>
            <xdr:cNvPr id="39942" name="OptionButton6" hidden="1">
              <a:extLst>
                <a:ext uri="{63B3BB69-23CF-44E3-9099-C40C66FF867C}">
                  <a14:compatExt spid="_x0000_s399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12</xdr:row>
          <xdr:rowOff>127000</xdr:rowOff>
        </xdr:from>
        <xdr:to>
          <xdr:col>5</xdr:col>
          <xdr:colOff>539750</xdr:colOff>
          <xdr:row>13</xdr:row>
          <xdr:rowOff>101600</xdr:rowOff>
        </xdr:to>
        <xdr:sp macro="" textlink="">
          <xdr:nvSpPr>
            <xdr:cNvPr id="39943" name="OptionButton7" hidden="1">
              <a:extLst>
                <a:ext uri="{63B3BB69-23CF-44E3-9099-C40C66FF867C}">
                  <a14:compatExt spid="_x0000_s399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393700</xdr:colOff>
          <xdr:row>18</xdr:row>
          <xdr:rowOff>0</xdr:rowOff>
        </xdr:from>
        <xdr:to>
          <xdr:col>5</xdr:col>
          <xdr:colOff>558800</xdr:colOff>
          <xdr:row>18</xdr:row>
          <xdr:rowOff>158750</xdr:rowOff>
        </xdr:to>
        <xdr:sp macro="" textlink="">
          <xdr:nvSpPr>
            <xdr:cNvPr id="39944" name="OptionButton8" hidden="1">
              <a:extLst>
                <a:ext uri="{63B3BB69-23CF-44E3-9099-C40C66FF867C}">
                  <a14:compatExt spid="_x0000_s399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22</xdr:row>
          <xdr:rowOff>69850</xdr:rowOff>
        </xdr:from>
        <xdr:to>
          <xdr:col>5</xdr:col>
          <xdr:colOff>539750</xdr:colOff>
          <xdr:row>23</xdr:row>
          <xdr:rowOff>38100</xdr:rowOff>
        </xdr:to>
        <xdr:sp macro="" textlink="">
          <xdr:nvSpPr>
            <xdr:cNvPr id="39945" name="OptionButton9" hidden="1">
              <a:extLst>
                <a:ext uri="{63B3BB69-23CF-44E3-9099-C40C66FF867C}">
                  <a14:compatExt spid="_x0000_s399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27</xdr:row>
          <xdr:rowOff>76200</xdr:rowOff>
        </xdr:from>
        <xdr:to>
          <xdr:col>5</xdr:col>
          <xdr:colOff>539750</xdr:colOff>
          <xdr:row>28</xdr:row>
          <xdr:rowOff>44450</xdr:rowOff>
        </xdr:to>
        <xdr:sp macro="" textlink="">
          <xdr:nvSpPr>
            <xdr:cNvPr id="39946" name="OptionButton10" hidden="1">
              <a:extLst>
                <a:ext uri="{63B3BB69-23CF-44E3-9099-C40C66FF867C}">
                  <a14:compatExt spid="_x0000_s399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393700</xdr:colOff>
          <xdr:row>34</xdr:row>
          <xdr:rowOff>19050</xdr:rowOff>
        </xdr:from>
        <xdr:to>
          <xdr:col>1</xdr:col>
          <xdr:colOff>558800</xdr:colOff>
          <xdr:row>34</xdr:row>
          <xdr:rowOff>177800</xdr:rowOff>
        </xdr:to>
        <xdr:sp macro="" textlink="">
          <xdr:nvSpPr>
            <xdr:cNvPr id="39947" name="OptionButton11" hidden="1">
              <a:extLst>
                <a:ext uri="{63B3BB69-23CF-44E3-9099-C40C66FF867C}">
                  <a14:compatExt spid="_x0000_s399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38</xdr:row>
          <xdr:rowOff>152400</xdr:rowOff>
        </xdr:from>
        <xdr:to>
          <xdr:col>1</xdr:col>
          <xdr:colOff>539750</xdr:colOff>
          <xdr:row>39</xdr:row>
          <xdr:rowOff>120650</xdr:rowOff>
        </xdr:to>
        <xdr:sp macro="" textlink="">
          <xdr:nvSpPr>
            <xdr:cNvPr id="39948" name="OptionButton12" hidden="1">
              <a:extLst>
                <a:ext uri="{63B3BB69-23CF-44E3-9099-C40C66FF867C}">
                  <a14:compatExt spid="_x0000_s399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374650</xdr:colOff>
          <xdr:row>44</xdr:row>
          <xdr:rowOff>19050</xdr:rowOff>
        </xdr:from>
        <xdr:to>
          <xdr:col>1</xdr:col>
          <xdr:colOff>533400</xdr:colOff>
          <xdr:row>44</xdr:row>
          <xdr:rowOff>177800</xdr:rowOff>
        </xdr:to>
        <xdr:sp macro="" textlink="">
          <xdr:nvSpPr>
            <xdr:cNvPr id="39949" name="OptionButton13" hidden="1">
              <a:extLst>
                <a:ext uri="{63B3BB69-23CF-44E3-9099-C40C66FF867C}">
                  <a14:compatExt spid="_x0000_s399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48</xdr:row>
          <xdr:rowOff>57150</xdr:rowOff>
        </xdr:from>
        <xdr:to>
          <xdr:col>1</xdr:col>
          <xdr:colOff>520700</xdr:colOff>
          <xdr:row>49</xdr:row>
          <xdr:rowOff>25400</xdr:rowOff>
        </xdr:to>
        <xdr:sp macro="" textlink="">
          <xdr:nvSpPr>
            <xdr:cNvPr id="39950" name="OptionButton14" hidden="1">
              <a:extLst>
                <a:ext uri="{63B3BB69-23CF-44E3-9099-C40C66FF867C}">
                  <a14:compatExt spid="_x0000_s399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355600</xdr:colOff>
          <xdr:row>53</xdr:row>
          <xdr:rowOff>38100</xdr:rowOff>
        </xdr:from>
        <xdr:to>
          <xdr:col>1</xdr:col>
          <xdr:colOff>520700</xdr:colOff>
          <xdr:row>53</xdr:row>
          <xdr:rowOff>196850</xdr:rowOff>
        </xdr:to>
        <xdr:sp macro="" textlink="">
          <xdr:nvSpPr>
            <xdr:cNvPr id="39951" name="OptionButton15" hidden="1">
              <a:extLst>
                <a:ext uri="{63B3BB69-23CF-44E3-9099-C40C66FF867C}">
                  <a14:compatExt spid="_x0000_s399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355600</xdr:colOff>
          <xdr:row>34</xdr:row>
          <xdr:rowOff>31750</xdr:rowOff>
        </xdr:from>
        <xdr:to>
          <xdr:col>5</xdr:col>
          <xdr:colOff>520700</xdr:colOff>
          <xdr:row>35</xdr:row>
          <xdr:rowOff>0</xdr:rowOff>
        </xdr:to>
        <xdr:sp macro="" textlink="">
          <xdr:nvSpPr>
            <xdr:cNvPr id="39952" name="OptionButton16" hidden="1">
              <a:extLst>
                <a:ext uri="{63B3BB69-23CF-44E3-9099-C40C66FF867C}">
                  <a14:compatExt spid="_x0000_s399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38</xdr:row>
          <xdr:rowOff>127000</xdr:rowOff>
        </xdr:from>
        <xdr:to>
          <xdr:col>5</xdr:col>
          <xdr:colOff>539750</xdr:colOff>
          <xdr:row>39</xdr:row>
          <xdr:rowOff>101600</xdr:rowOff>
        </xdr:to>
        <xdr:sp macro="" textlink="">
          <xdr:nvSpPr>
            <xdr:cNvPr id="39953" name="OptionButton17" hidden="1">
              <a:extLst>
                <a:ext uri="{63B3BB69-23CF-44E3-9099-C40C66FF867C}">
                  <a14:compatExt spid="_x0000_s399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393700</xdr:colOff>
          <xdr:row>44</xdr:row>
          <xdr:rowOff>0</xdr:rowOff>
        </xdr:from>
        <xdr:to>
          <xdr:col>5</xdr:col>
          <xdr:colOff>558800</xdr:colOff>
          <xdr:row>44</xdr:row>
          <xdr:rowOff>158750</xdr:rowOff>
        </xdr:to>
        <xdr:sp macro="" textlink="">
          <xdr:nvSpPr>
            <xdr:cNvPr id="39954" name="OptionButton18" hidden="1">
              <a:extLst>
                <a:ext uri="{63B3BB69-23CF-44E3-9099-C40C66FF867C}">
                  <a14:compatExt spid="_x0000_s399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48</xdr:row>
          <xdr:rowOff>69850</xdr:rowOff>
        </xdr:from>
        <xdr:to>
          <xdr:col>5</xdr:col>
          <xdr:colOff>539750</xdr:colOff>
          <xdr:row>49</xdr:row>
          <xdr:rowOff>38100</xdr:rowOff>
        </xdr:to>
        <xdr:sp macro="" textlink="">
          <xdr:nvSpPr>
            <xdr:cNvPr id="39955" name="OptionButton19" hidden="1">
              <a:extLst>
                <a:ext uri="{63B3BB69-23CF-44E3-9099-C40C66FF867C}">
                  <a14:compatExt spid="_x0000_s399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53</xdr:row>
          <xdr:rowOff>76200</xdr:rowOff>
        </xdr:from>
        <xdr:to>
          <xdr:col>5</xdr:col>
          <xdr:colOff>539750</xdr:colOff>
          <xdr:row>53</xdr:row>
          <xdr:rowOff>234950</xdr:rowOff>
        </xdr:to>
        <xdr:sp macro="" textlink="">
          <xdr:nvSpPr>
            <xdr:cNvPr id="39956" name="OptionButton20" hidden="1">
              <a:extLst>
                <a:ext uri="{63B3BB69-23CF-44E3-9099-C40C66FF867C}">
                  <a14:compatExt spid="_x0000_s399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393700</xdr:colOff>
          <xdr:row>61</xdr:row>
          <xdr:rowOff>19050</xdr:rowOff>
        </xdr:from>
        <xdr:to>
          <xdr:col>1</xdr:col>
          <xdr:colOff>558800</xdr:colOff>
          <xdr:row>61</xdr:row>
          <xdr:rowOff>177800</xdr:rowOff>
        </xdr:to>
        <xdr:sp macro="" textlink="">
          <xdr:nvSpPr>
            <xdr:cNvPr id="39957" name="OptionButton21" hidden="1">
              <a:extLst>
                <a:ext uri="{63B3BB69-23CF-44E3-9099-C40C66FF867C}">
                  <a14:compatExt spid="_x0000_s399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65</xdr:row>
          <xdr:rowOff>152400</xdr:rowOff>
        </xdr:from>
        <xdr:to>
          <xdr:col>1</xdr:col>
          <xdr:colOff>539750</xdr:colOff>
          <xdr:row>65</xdr:row>
          <xdr:rowOff>311150</xdr:rowOff>
        </xdr:to>
        <xdr:sp macro="" textlink="">
          <xdr:nvSpPr>
            <xdr:cNvPr id="39958" name="OptionButton22" hidden="1">
              <a:extLst>
                <a:ext uri="{63B3BB69-23CF-44E3-9099-C40C66FF867C}">
                  <a14:compatExt spid="_x0000_s3995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374650</xdr:colOff>
          <xdr:row>70</xdr:row>
          <xdr:rowOff>19050</xdr:rowOff>
        </xdr:from>
        <xdr:to>
          <xdr:col>1</xdr:col>
          <xdr:colOff>533400</xdr:colOff>
          <xdr:row>70</xdr:row>
          <xdr:rowOff>177800</xdr:rowOff>
        </xdr:to>
        <xdr:sp macro="" textlink="">
          <xdr:nvSpPr>
            <xdr:cNvPr id="39959" name="OptionButton23" hidden="1">
              <a:extLst>
                <a:ext uri="{63B3BB69-23CF-44E3-9099-C40C66FF867C}">
                  <a14:compatExt spid="_x0000_s3995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73</xdr:row>
          <xdr:rowOff>57150</xdr:rowOff>
        </xdr:from>
        <xdr:to>
          <xdr:col>1</xdr:col>
          <xdr:colOff>520700</xdr:colOff>
          <xdr:row>73</xdr:row>
          <xdr:rowOff>215900</xdr:rowOff>
        </xdr:to>
        <xdr:sp macro="" textlink="">
          <xdr:nvSpPr>
            <xdr:cNvPr id="39960" name="OptionButton24" hidden="1">
              <a:extLst>
                <a:ext uri="{63B3BB69-23CF-44E3-9099-C40C66FF867C}">
                  <a14:compatExt spid="_x0000_s3996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355600</xdr:colOff>
          <xdr:row>77</xdr:row>
          <xdr:rowOff>38100</xdr:rowOff>
        </xdr:from>
        <xdr:to>
          <xdr:col>1</xdr:col>
          <xdr:colOff>520700</xdr:colOff>
          <xdr:row>77</xdr:row>
          <xdr:rowOff>196850</xdr:rowOff>
        </xdr:to>
        <xdr:sp macro="" textlink="">
          <xdr:nvSpPr>
            <xdr:cNvPr id="39961" name="OptionButton25" hidden="1">
              <a:extLst>
                <a:ext uri="{63B3BB69-23CF-44E3-9099-C40C66FF867C}">
                  <a14:compatExt spid="_x0000_s399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355600</xdr:colOff>
          <xdr:row>61</xdr:row>
          <xdr:rowOff>31750</xdr:rowOff>
        </xdr:from>
        <xdr:to>
          <xdr:col>5</xdr:col>
          <xdr:colOff>520700</xdr:colOff>
          <xdr:row>61</xdr:row>
          <xdr:rowOff>190500</xdr:rowOff>
        </xdr:to>
        <xdr:sp macro="" textlink="">
          <xdr:nvSpPr>
            <xdr:cNvPr id="39962" name="OptionButton26" hidden="1">
              <a:extLst>
                <a:ext uri="{63B3BB69-23CF-44E3-9099-C40C66FF867C}">
                  <a14:compatExt spid="_x0000_s399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65</xdr:row>
          <xdr:rowOff>127000</xdr:rowOff>
        </xdr:from>
        <xdr:to>
          <xdr:col>5</xdr:col>
          <xdr:colOff>539750</xdr:colOff>
          <xdr:row>65</xdr:row>
          <xdr:rowOff>292100</xdr:rowOff>
        </xdr:to>
        <xdr:sp macro="" textlink="">
          <xdr:nvSpPr>
            <xdr:cNvPr id="39963" name="OptionButton27" hidden="1">
              <a:extLst>
                <a:ext uri="{63B3BB69-23CF-44E3-9099-C40C66FF867C}">
                  <a14:compatExt spid="_x0000_s399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393700</xdr:colOff>
          <xdr:row>71</xdr:row>
          <xdr:rowOff>0</xdr:rowOff>
        </xdr:from>
        <xdr:to>
          <xdr:col>5</xdr:col>
          <xdr:colOff>571500</xdr:colOff>
          <xdr:row>71</xdr:row>
          <xdr:rowOff>158750</xdr:rowOff>
        </xdr:to>
        <xdr:sp macro="" textlink="">
          <xdr:nvSpPr>
            <xdr:cNvPr id="39964" name="OptionButton28" hidden="1">
              <a:extLst>
                <a:ext uri="{63B3BB69-23CF-44E3-9099-C40C66FF867C}">
                  <a14:compatExt spid="_x0000_s399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73</xdr:row>
          <xdr:rowOff>69850</xdr:rowOff>
        </xdr:from>
        <xdr:to>
          <xdr:col>5</xdr:col>
          <xdr:colOff>539750</xdr:colOff>
          <xdr:row>73</xdr:row>
          <xdr:rowOff>228600</xdr:rowOff>
        </xdr:to>
        <xdr:sp macro="" textlink="">
          <xdr:nvSpPr>
            <xdr:cNvPr id="39965" name="OptionButton29" hidden="1">
              <a:extLst>
                <a:ext uri="{63B3BB69-23CF-44E3-9099-C40C66FF867C}">
                  <a14:compatExt spid="_x0000_s399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77</xdr:row>
          <xdr:rowOff>76200</xdr:rowOff>
        </xdr:from>
        <xdr:to>
          <xdr:col>5</xdr:col>
          <xdr:colOff>539750</xdr:colOff>
          <xdr:row>77</xdr:row>
          <xdr:rowOff>234950</xdr:rowOff>
        </xdr:to>
        <xdr:sp macro="" textlink="">
          <xdr:nvSpPr>
            <xdr:cNvPr id="39966" name="OptionButton30" hidden="1">
              <a:extLst>
                <a:ext uri="{63B3BB69-23CF-44E3-9099-C40C66FF867C}">
                  <a14:compatExt spid="_x0000_s399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393700</xdr:colOff>
          <xdr:row>83</xdr:row>
          <xdr:rowOff>0</xdr:rowOff>
        </xdr:from>
        <xdr:to>
          <xdr:col>1</xdr:col>
          <xdr:colOff>571500</xdr:colOff>
          <xdr:row>83</xdr:row>
          <xdr:rowOff>158750</xdr:rowOff>
        </xdr:to>
        <xdr:sp macro="" textlink="">
          <xdr:nvSpPr>
            <xdr:cNvPr id="39967" name="OptionButton31" hidden="1">
              <a:extLst>
                <a:ext uri="{63B3BB69-23CF-44E3-9099-C40C66FF867C}">
                  <a14:compatExt spid="_x0000_s399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83</xdr:row>
          <xdr:rowOff>0</xdr:rowOff>
        </xdr:from>
        <xdr:to>
          <xdr:col>1</xdr:col>
          <xdr:colOff>539750</xdr:colOff>
          <xdr:row>83</xdr:row>
          <xdr:rowOff>158750</xdr:rowOff>
        </xdr:to>
        <xdr:sp macro="" textlink="">
          <xdr:nvSpPr>
            <xdr:cNvPr id="39968" name="OptionButton32" hidden="1">
              <a:extLst>
                <a:ext uri="{63B3BB69-23CF-44E3-9099-C40C66FF867C}">
                  <a14:compatExt spid="_x0000_s399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374650</xdr:colOff>
          <xdr:row>83</xdr:row>
          <xdr:rowOff>0</xdr:rowOff>
        </xdr:from>
        <xdr:to>
          <xdr:col>1</xdr:col>
          <xdr:colOff>533400</xdr:colOff>
          <xdr:row>83</xdr:row>
          <xdr:rowOff>158750</xdr:rowOff>
        </xdr:to>
        <xdr:sp macro="" textlink="">
          <xdr:nvSpPr>
            <xdr:cNvPr id="39969" name="OptionButton33" hidden="1">
              <a:extLst>
                <a:ext uri="{63B3BB69-23CF-44E3-9099-C40C66FF867C}">
                  <a14:compatExt spid="_x0000_s399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83</xdr:row>
          <xdr:rowOff>0</xdr:rowOff>
        </xdr:from>
        <xdr:to>
          <xdr:col>1</xdr:col>
          <xdr:colOff>527050</xdr:colOff>
          <xdr:row>83</xdr:row>
          <xdr:rowOff>158750</xdr:rowOff>
        </xdr:to>
        <xdr:sp macro="" textlink="">
          <xdr:nvSpPr>
            <xdr:cNvPr id="39970" name="OptionButton34" hidden="1">
              <a:extLst>
                <a:ext uri="{63B3BB69-23CF-44E3-9099-C40C66FF867C}">
                  <a14:compatExt spid="_x0000_s399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355600</xdr:colOff>
          <xdr:row>83</xdr:row>
          <xdr:rowOff>0</xdr:rowOff>
        </xdr:from>
        <xdr:to>
          <xdr:col>1</xdr:col>
          <xdr:colOff>520700</xdr:colOff>
          <xdr:row>83</xdr:row>
          <xdr:rowOff>158750</xdr:rowOff>
        </xdr:to>
        <xdr:sp macro="" textlink="">
          <xdr:nvSpPr>
            <xdr:cNvPr id="39971" name="OptionButton35" hidden="1">
              <a:extLst>
                <a:ext uri="{63B3BB69-23CF-44E3-9099-C40C66FF867C}">
                  <a14:compatExt spid="_x0000_s399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355600</xdr:colOff>
          <xdr:row>83</xdr:row>
          <xdr:rowOff>0</xdr:rowOff>
        </xdr:from>
        <xdr:to>
          <xdr:col>5</xdr:col>
          <xdr:colOff>520700</xdr:colOff>
          <xdr:row>83</xdr:row>
          <xdr:rowOff>158750</xdr:rowOff>
        </xdr:to>
        <xdr:sp macro="" textlink="">
          <xdr:nvSpPr>
            <xdr:cNvPr id="39972" name="OptionButton36" hidden="1">
              <a:extLst>
                <a:ext uri="{63B3BB69-23CF-44E3-9099-C40C66FF867C}">
                  <a14:compatExt spid="_x0000_s399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83</xdr:row>
          <xdr:rowOff>0</xdr:rowOff>
        </xdr:from>
        <xdr:to>
          <xdr:col>5</xdr:col>
          <xdr:colOff>539750</xdr:colOff>
          <xdr:row>83</xdr:row>
          <xdr:rowOff>158750</xdr:rowOff>
        </xdr:to>
        <xdr:sp macro="" textlink="">
          <xdr:nvSpPr>
            <xdr:cNvPr id="39973" name="OptionButton37" hidden="1">
              <a:extLst>
                <a:ext uri="{63B3BB69-23CF-44E3-9099-C40C66FF867C}">
                  <a14:compatExt spid="_x0000_s399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393700</xdr:colOff>
          <xdr:row>83</xdr:row>
          <xdr:rowOff>0</xdr:rowOff>
        </xdr:from>
        <xdr:to>
          <xdr:col>5</xdr:col>
          <xdr:colOff>571500</xdr:colOff>
          <xdr:row>83</xdr:row>
          <xdr:rowOff>158750</xdr:rowOff>
        </xdr:to>
        <xdr:sp macro="" textlink="">
          <xdr:nvSpPr>
            <xdr:cNvPr id="39974" name="OptionButton38" hidden="1">
              <a:extLst>
                <a:ext uri="{63B3BB69-23CF-44E3-9099-C40C66FF867C}">
                  <a14:compatExt spid="_x0000_s399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83</xdr:row>
          <xdr:rowOff>0</xdr:rowOff>
        </xdr:from>
        <xdr:to>
          <xdr:col>5</xdr:col>
          <xdr:colOff>539750</xdr:colOff>
          <xdr:row>83</xdr:row>
          <xdr:rowOff>158750</xdr:rowOff>
        </xdr:to>
        <xdr:sp macro="" textlink="">
          <xdr:nvSpPr>
            <xdr:cNvPr id="39975" name="OptionButton39" hidden="1">
              <a:extLst>
                <a:ext uri="{63B3BB69-23CF-44E3-9099-C40C66FF867C}">
                  <a14:compatExt spid="_x0000_s399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83</xdr:row>
          <xdr:rowOff>0</xdr:rowOff>
        </xdr:from>
        <xdr:to>
          <xdr:col>5</xdr:col>
          <xdr:colOff>539750</xdr:colOff>
          <xdr:row>83</xdr:row>
          <xdr:rowOff>177800</xdr:rowOff>
        </xdr:to>
        <xdr:sp macro="" textlink="">
          <xdr:nvSpPr>
            <xdr:cNvPr id="39976" name="OptionButton40" hidden="1">
              <a:extLst>
                <a:ext uri="{63B3BB69-23CF-44E3-9099-C40C66FF867C}">
                  <a14:compatExt spid="_x0000_s399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393700</xdr:colOff>
          <xdr:row>83</xdr:row>
          <xdr:rowOff>0</xdr:rowOff>
        </xdr:from>
        <xdr:to>
          <xdr:col>1</xdr:col>
          <xdr:colOff>571500</xdr:colOff>
          <xdr:row>83</xdr:row>
          <xdr:rowOff>158750</xdr:rowOff>
        </xdr:to>
        <xdr:sp macro="" textlink="">
          <xdr:nvSpPr>
            <xdr:cNvPr id="39977" name="OptionButton41" hidden="1">
              <a:extLst>
                <a:ext uri="{63B3BB69-23CF-44E3-9099-C40C66FF867C}">
                  <a14:compatExt spid="_x0000_s399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83</xdr:row>
          <xdr:rowOff>0</xdr:rowOff>
        </xdr:from>
        <xdr:to>
          <xdr:col>1</xdr:col>
          <xdr:colOff>539750</xdr:colOff>
          <xdr:row>83</xdr:row>
          <xdr:rowOff>158750</xdr:rowOff>
        </xdr:to>
        <xdr:sp macro="" textlink="">
          <xdr:nvSpPr>
            <xdr:cNvPr id="39978" name="OptionButton42" hidden="1">
              <a:extLst>
                <a:ext uri="{63B3BB69-23CF-44E3-9099-C40C66FF867C}">
                  <a14:compatExt spid="_x0000_s399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374650</xdr:colOff>
          <xdr:row>83</xdr:row>
          <xdr:rowOff>0</xdr:rowOff>
        </xdr:from>
        <xdr:to>
          <xdr:col>1</xdr:col>
          <xdr:colOff>533400</xdr:colOff>
          <xdr:row>83</xdr:row>
          <xdr:rowOff>158750</xdr:rowOff>
        </xdr:to>
        <xdr:sp macro="" textlink="">
          <xdr:nvSpPr>
            <xdr:cNvPr id="39979" name="OptionButton43" hidden="1">
              <a:extLst>
                <a:ext uri="{63B3BB69-23CF-44E3-9099-C40C66FF867C}">
                  <a14:compatExt spid="_x0000_s399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83</xdr:row>
          <xdr:rowOff>0</xdr:rowOff>
        </xdr:from>
        <xdr:to>
          <xdr:col>1</xdr:col>
          <xdr:colOff>527050</xdr:colOff>
          <xdr:row>83</xdr:row>
          <xdr:rowOff>158750</xdr:rowOff>
        </xdr:to>
        <xdr:sp macro="" textlink="">
          <xdr:nvSpPr>
            <xdr:cNvPr id="39980" name="OptionButton44" hidden="1">
              <a:extLst>
                <a:ext uri="{63B3BB69-23CF-44E3-9099-C40C66FF867C}">
                  <a14:compatExt spid="_x0000_s399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355600</xdr:colOff>
          <xdr:row>83</xdr:row>
          <xdr:rowOff>0</xdr:rowOff>
        </xdr:from>
        <xdr:to>
          <xdr:col>1</xdr:col>
          <xdr:colOff>520700</xdr:colOff>
          <xdr:row>83</xdr:row>
          <xdr:rowOff>158750</xdr:rowOff>
        </xdr:to>
        <xdr:sp macro="" textlink="">
          <xdr:nvSpPr>
            <xdr:cNvPr id="39981" name="OptionButton45" hidden="1">
              <a:extLst>
                <a:ext uri="{63B3BB69-23CF-44E3-9099-C40C66FF867C}">
                  <a14:compatExt spid="_x0000_s399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355600</xdr:colOff>
          <xdr:row>83</xdr:row>
          <xdr:rowOff>0</xdr:rowOff>
        </xdr:from>
        <xdr:to>
          <xdr:col>5</xdr:col>
          <xdr:colOff>520700</xdr:colOff>
          <xdr:row>83</xdr:row>
          <xdr:rowOff>158750</xdr:rowOff>
        </xdr:to>
        <xdr:sp macro="" textlink="">
          <xdr:nvSpPr>
            <xdr:cNvPr id="39982" name="OptionButton46" hidden="1">
              <a:extLst>
                <a:ext uri="{63B3BB69-23CF-44E3-9099-C40C66FF867C}">
                  <a14:compatExt spid="_x0000_s399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83</xdr:row>
          <xdr:rowOff>0</xdr:rowOff>
        </xdr:from>
        <xdr:to>
          <xdr:col>5</xdr:col>
          <xdr:colOff>539750</xdr:colOff>
          <xdr:row>83</xdr:row>
          <xdr:rowOff>158750</xdr:rowOff>
        </xdr:to>
        <xdr:sp macro="" textlink="">
          <xdr:nvSpPr>
            <xdr:cNvPr id="39983" name="OptionButton47" hidden="1">
              <a:extLst>
                <a:ext uri="{63B3BB69-23CF-44E3-9099-C40C66FF867C}">
                  <a14:compatExt spid="_x0000_s399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393700</xdr:colOff>
          <xdr:row>83</xdr:row>
          <xdr:rowOff>0</xdr:rowOff>
        </xdr:from>
        <xdr:to>
          <xdr:col>5</xdr:col>
          <xdr:colOff>571500</xdr:colOff>
          <xdr:row>83</xdr:row>
          <xdr:rowOff>158750</xdr:rowOff>
        </xdr:to>
        <xdr:sp macro="" textlink="">
          <xdr:nvSpPr>
            <xdr:cNvPr id="39984" name="OptionButton48" hidden="1">
              <a:extLst>
                <a:ext uri="{63B3BB69-23CF-44E3-9099-C40C66FF867C}">
                  <a14:compatExt spid="_x0000_s399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83</xdr:row>
          <xdr:rowOff>0</xdr:rowOff>
        </xdr:from>
        <xdr:to>
          <xdr:col>5</xdr:col>
          <xdr:colOff>539750</xdr:colOff>
          <xdr:row>83</xdr:row>
          <xdr:rowOff>158750</xdr:rowOff>
        </xdr:to>
        <xdr:sp macro="" textlink="">
          <xdr:nvSpPr>
            <xdr:cNvPr id="39985" name="OptionButton49" hidden="1">
              <a:extLst>
                <a:ext uri="{63B3BB69-23CF-44E3-9099-C40C66FF867C}">
                  <a14:compatExt spid="_x0000_s399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83</xdr:row>
          <xdr:rowOff>0</xdr:rowOff>
        </xdr:from>
        <xdr:to>
          <xdr:col>5</xdr:col>
          <xdr:colOff>539750</xdr:colOff>
          <xdr:row>83</xdr:row>
          <xdr:rowOff>177800</xdr:rowOff>
        </xdr:to>
        <xdr:sp macro="" textlink="">
          <xdr:nvSpPr>
            <xdr:cNvPr id="39986" name="OptionButton50" hidden="1">
              <a:extLst>
                <a:ext uri="{63B3BB69-23CF-44E3-9099-C40C66FF867C}">
                  <a14:compatExt spid="_x0000_s399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393700</xdr:colOff>
          <xdr:row>84</xdr:row>
          <xdr:rowOff>19050</xdr:rowOff>
        </xdr:from>
        <xdr:to>
          <xdr:col>1</xdr:col>
          <xdr:colOff>558800</xdr:colOff>
          <xdr:row>84</xdr:row>
          <xdr:rowOff>177800</xdr:rowOff>
        </xdr:to>
        <xdr:sp macro="" textlink="">
          <xdr:nvSpPr>
            <xdr:cNvPr id="39987" name="OptionButton51" hidden="1">
              <a:extLst>
                <a:ext uri="{63B3BB69-23CF-44E3-9099-C40C66FF867C}">
                  <a14:compatExt spid="_x0000_s399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381000</xdr:colOff>
          <xdr:row>88</xdr:row>
          <xdr:rowOff>152400</xdr:rowOff>
        </xdr:from>
        <xdr:to>
          <xdr:col>1</xdr:col>
          <xdr:colOff>539750</xdr:colOff>
          <xdr:row>89</xdr:row>
          <xdr:rowOff>127000</xdr:rowOff>
        </xdr:to>
        <xdr:sp macro="" textlink="">
          <xdr:nvSpPr>
            <xdr:cNvPr id="39988" name="OptionButton52" hidden="1">
              <a:extLst>
                <a:ext uri="{63B3BB69-23CF-44E3-9099-C40C66FF867C}">
                  <a14:compatExt spid="_x0000_s399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374650</xdr:colOff>
          <xdr:row>94</xdr:row>
          <xdr:rowOff>19050</xdr:rowOff>
        </xdr:from>
        <xdr:to>
          <xdr:col>1</xdr:col>
          <xdr:colOff>533400</xdr:colOff>
          <xdr:row>94</xdr:row>
          <xdr:rowOff>177800</xdr:rowOff>
        </xdr:to>
        <xdr:sp macro="" textlink="">
          <xdr:nvSpPr>
            <xdr:cNvPr id="39989" name="OptionButton53" hidden="1">
              <a:extLst>
                <a:ext uri="{63B3BB69-23CF-44E3-9099-C40C66FF867C}">
                  <a14:compatExt spid="_x0000_s399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98</xdr:row>
          <xdr:rowOff>57150</xdr:rowOff>
        </xdr:from>
        <xdr:to>
          <xdr:col>1</xdr:col>
          <xdr:colOff>520700</xdr:colOff>
          <xdr:row>98</xdr:row>
          <xdr:rowOff>215900</xdr:rowOff>
        </xdr:to>
        <xdr:sp macro="" textlink="">
          <xdr:nvSpPr>
            <xdr:cNvPr id="39990" name="OptionButton54" hidden="1">
              <a:extLst>
                <a:ext uri="{63B3BB69-23CF-44E3-9099-C40C66FF867C}">
                  <a14:compatExt spid="_x0000_s3999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355600</xdr:colOff>
          <xdr:row>103</xdr:row>
          <xdr:rowOff>38100</xdr:rowOff>
        </xdr:from>
        <xdr:to>
          <xdr:col>1</xdr:col>
          <xdr:colOff>520700</xdr:colOff>
          <xdr:row>103</xdr:row>
          <xdr:rowOff>196850</xdr:rowOff>
        </xdr:to>
        <xdr:sp macro="" textlink="">
          <xdr:nvSpPr>
            <xdr:cNvPr id="39991" name="OptionButton55" hidden="1">
              <a:extLst>
                <a:ext uri="{63B3BB69-23CF-44E3-9099-C40C66FF867C}">
                  <a14:compatExt spid="_x0000_s3999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355600</xdr:colOff>
          <xdr:row>84</xdr:row>
          <xdr:rowOff>31750</xdr:rowOff>
        </xdr:from>
        <xdr:to>
          <xdr:col>5</xdr:col>
          <xdr:colOff>520700</xdr:colOff>
          <xdr:row>84</xdr:row>
          <xdr:rowOff>190500</xdr:rowOff>
        </xdr:to>
        <xdr:sp macro="" textlink="">
          <xdr:nvSpPr>
            <xdr:cNvPr id="39992" name="OptionButton56" hidden="1">
              <a:extLst>
                <a:ext uri="{63B3BB69-23CF-44E3-9099-C40C66FF867C}">
                  <a14:compatExt spid="_x0000_s3999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88</xdr:row>
          <xdr:rowOff>127000</xdr:rowOff>
        </xdr:from>
        <xdr:to>
          <xdr:col>5</xdr:col>
          <xdr:colOff>539750</xdr:colOff>
          <xdr:row>89</xdr:row>
          <xdr:rowOff>107950</xdr:rowOff>
        </xdr:to>
        <xdr:sp macro="" textlink="">
          <xdr:nvSpPr>
            <xdr:cNvPr id="39993" name="OptionButton57" hidden="1">
              <a:extLst>
                <a:ext uri="{63B3BB69-23CF-44E3-9099-C40C66FF867C}">
                  <a14:compatExt spid="_x0000_s399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393700</xdr:colOff>
          <xdr:row>94</xdr:row>
          <xdr:rowOff>0</xdr:rowOff>
        </xdr:from>
        <xdr:to>
          <xdr:col>5</xdr:col>
          <xdr:colOff>558800</xdr:colOff>
          <xdr:row>94</xdr:row>
          <xdr:rowOff>158750</xdr:rowOff>
        </xdr:to>
        <xdr:sp macro="" textlink="">
          <xdr:nvSpPr>
            <xdr:cNvPr id="39994" name="OptionButton58" hidden="1">
              <a:extLst>
                <a:ext uri="{63B3BB69-23CF-44E3-9099-C40C66FF867C}">
                  <a14:compatExt spid="_x0000_s399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98</xdr:row>
          <xdr:rowOff>69850</xdr:rowOff>
        </xdr:from>
        <xdr:to>
          <xdr:col>5</xdr:col>
          <xdr:colOff>539750</xdr:colOff>
          <xdr:row>98</xdr:row>
          <xdr:rowOff>228600</xdr:rowOff>
        </xdr:to>
        <xdr:sp macro="" textlink="">
          <xdr:nvSpPr>
            <xdr:cNvPr id="39995" name="OptionButton59" hidden="1">
              <a:extLst>
                <a:ext uri="{63B3BB69-23CF-44E3-9099-C40C66FF867C}">
                  <a14:compatExt spid="_x0000_s399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103</xdr:row>
          <xdr:rowOff>76200</xdr:rowOff>
        </xdr:from>
        <xdr:to>
          <xdr:col>5</xdr:col>
          <xdr:colOff>539750</xdr:colOff>
          <xdr:row>103</xdr:row>
          <xdr:rowOff>234950</xdr:rowOff>
        </xdr:to>
        <xdr:sp macro="" textlink="">
          <xdr:nvSpPr>
            <xdr:cNvPr id="39996" name="OptionButton60" hidden="1">
              <a:extLst>
                <a:ext uri="{63B3BB69-23CF-44E3-9099-C40C66FF867C}">
                  <a14:compatExt spid="_x0000_s399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Draft%20kuesioner\16%20Okt%202015\Kuisioner%20Plus%20ID%20utk%20tim%2014%2009%20201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Risiko Operasional"/>
      <sheetName val="GCG"/>
      <sheetName val="Kepatuhan"/>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8.xml"/><Relationship Id="rId21" Type="http://schemas.openxmlformats.org/officeDocument/2006/relationships/control" Target="../activeX/activeX14.xml"/><Relationship Id="rId42" Type="http://schemas.openxmlformats.org/officeDocument/2006/relationships/control" Target="../activeX/activeX33.xml"/><Relationship Id="rId47" Type="http://schemas.openxmlformats.org/officeDocument/2006/relationships/control" Target="../activeX/activeX38.xml"/><Relationship Id="rId63" Type="http://schemas.openxmlformats.org/officeDocument/2006/relationships/control" Target="../activeX/activeX53.xml"/><Relationship Id="rId68" Type="http://schemas.openxmlformats.org/officeDocument/2006/relationships/control" Target="../activeX/activeX58.xml"/><Relationship Id="rId84" Type="http://schemas.openxmlformats.org/officeDocument/2006/relationships/control" Target="../activeX/activeX74.xml"/><Relationship Id="rId89" Type="http://schemas.openxmlformats.org/officeDocument/2006/relationships/control" Target="../activeX/activeX79.xml"/><Relationship Id="rId16" Type="http://schemas.openxmlformats.org/officeDocument/2006/relationships/control" Target="../activeX/activeX10.xml"/><Relationship Id="rId11" Type="http://schemas.openxmlformats.org/officeDocument/2006/relationships/control" Target="../activeX/activeX5.xml"/><Relationship Id="rId32" Type="http://schemas.openxmlformats.org/officeDocument/2006/relationships/control" Target="../activeX/activeX23.xml"/><Relationship Id="rId37" Type="http://schemas.openxmlformats.org/officeDocument/2006/relationships/control" Target="../activeX/activeX28.xml"/><Relationship Id="rId53" Type="http://schemas.openxmlformats.org/officeDocument/2006/relationships/control" Target="../activeX/activeX44.xml"/><Relationship Id="rId58" Type="http://schemas.openxmlformats.org/officeDocument/2006/relationships/control" Target="../activeX/activeX48.xml"/><Relationship Id="rId74" Type="http://schemas.openxmlformats.org/officeDocument/2006/relationships/control" Target="../activeX/activeX64.xml"/><Relationship Id="rId79" Type="http://schemas.openxmlformats.org/officeDocument/2006/relationships/control" Target="../activeX/activeX69.xml"/><Relationship Id="rId102" Type="http://schemas.openxmlformats.org/officeDocument/2006/relationships/control" Target="../activeX/activeX92.xml"/><Relationship Id="rId5" Type="http://schemas.openxmlformats.org/officeDocument/2006/relationships/control" Target="../activeX/activeX1.xml"/><Relationship Id="rId90" Type="http://schemas.openxmlformats.org/officeDocument/2006/relationships/control" Target="../activeX/activeX80.xml"/><Relationship Id="rId95" Type="http://schemas.openxmlformats.org/officeDocument/2006/relationships/control" Target="../activeX/activeX85.xml"/><Relationship Id="rId22" Type="http://schemas.openxmlformats.org/officeDocument/2006/relationships/control" Target="../activeX/activeX15.xml"/><Relationship Id="rId27" Type="http://schemas.openxmlformats.org/officeDocument/2006/relationships/control" Target="../activeX/activeX19.xml"/><Relationship Id="rId43" Type="http://schemas.openxmlformats.org/officeDocument/2006/relationships/control" Target="../activeX/activeX34.xml"/><Relationship Id="rId48" Type="http://schemas.openxmlformats.org/officeDocument/2006/relationships/control" Target="../activeX/activeX39.xml"/><Relationship Id="rId64" Type="http://schemas.openxmlformats.org/officeDocument/2006/relationships/control" Target="../activeX/activeX54.xml"/><Relationship Id="rId69" Type="http://schemas.openxmlformats.org/officeDocument/2006/relationships/control" Target="../activeX/activeX59.xml"/><Relationship Id="rId80" Type="http://schemas.openxmlformats.org/officeDocument/2006/relationships/control" Target="../activeX/activeX70.xml"/><Relationship Id="rId85" Type="http://schemas.openxmlformats.org/officeDocument/2006/relationships/control" Target="../activeX/activeX75.xml"/><Relationship Id="rId12" Type="http://schemas.openxmlformats.org/officeDocument/2006/relationships/control" Target="../activeX/activeX6.xml"/><Relationship Id="rId17" Type="http://schemas.openxmlformats.org/officeDocument/2006/relationships/image" Target="../media/image3.emf"/><Relationship Id="rId33" Type="http://schemas.openxmlformats.org/officeDocument/2006/relationships/control" Target="../activeX/activeX24.xml"/><Relationship Id="rId38" Type="http://schemas.openxmlformats.org/officeDocument/2006/relationships/control" Target="../activeX/activeX29.xml"/><Relationship Id="rId59" Type="http://schemas.openxmlformats.org/officeDocument/2006/relationships/control" Target="../activeX/activeX49.xml"/><Relationship Id="rId103" Type="http://schemas.openxmlformats.org/officeDocument/2006/relationships/image" Target="../media/image7.emf"/><Relationship Id="rId20" Type="http://schemas.openxmlformats.org/officeDocument/2006/relationships/control" Target="../activeX/activeX13.xml"/><Relationship Id="rId41" Type="http://schemas.openxmlformats.org/officeDocument/2006/relationships/control" Target="../activeX/activeX32.xml"/><Relationship Id="rId54" Type="http://schemas.openxmlformats.org/officeDocument/2006/relationships/image" Target="../media/image6.emf"/><Relationship Id="rId62" Type="http://schemas.openxmlformats.org/officeDocument/2006/relationships/control" Target="../activeX/activeX52.xml"/><Relationship Id="rId70" Type="http://schemas.openxmlformats.org/officeDocument/2006/relationships/control" Target="../activeX/activeX60.xml"/><Relationship Id="rId75" Type="http://schemas.openxmlformats.org/officeDocument/2006/relationships/control" Target="../activeX/activeX65.xml"/><Relationship Id="rId83" Type="http://schemas.openxmlformats.org/officeDocument/2006/relationships/control" Target="../activeX/activeX73.xml"/><Relationship Id="rId88" Type="http://schemas.openxmlformats.org/officeDocument/2006/relationships/control" Target="../activeX/activeX78.xml"/><Relationship Id="rId91" Type="http://schemas.openxmlformats.org/officeDocument/2006/relationships/control" Target="../activeX/activeX81.xml"/><Relationship Id="rId96" Type="http://schemas.openxmlformats.org/officeDocument/2006/relationships/control" Target="../activeX/activeX86.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ontrol" Target="../activeX/activeX9.xml"/><Relationship Id="rId23" Type="http://schemas.openxmlformats.org/officeDocument/2006/relationships/image" Target="../media/image4.emf"/><Relationship Id="rId28" Type="http://schemas.openxmlformats.org/officeDocument/2006/relationships/control" Target="../activeX/activeX20.xml"/><Relationship Id="rId36" Type="http://schemas.openxmlformats.org/officeDocument/2006/relationships/control" Target="../activeX/activeX27.xml"/><Relationship Id="rId49" Type="http://schemas.openxmlformats.org/officeDocument/2006/relationships/control" Target="../activeX/activeX40.xml"/><Relationship Id="rId57" Type="http://schemas.openxmlformats.org/officeDocument/2006/relationships/control" Target="../activeX/activeX47.xml"/><Relationship Id="rId10" Type="http://schemas.openxmlformats.org/officeDocument/2006/relationships/control" Target="../activeX/activeX4.xml"/><Relationship Id="rId31" Type="http://schemas.openxmlformats.org/officeDocument/2006/relationships/image" Target="../media/image5.emf"/><Relationship Id="rId44" Type="http://schemas.openxmlformats.org/officeDocument/2006/relationships/control" Target="../activeX/activeX35.xml"/><Relationship Id="rId52" Type="http://schemas.openxmlformats.org/officeDocument/2006/relationships/control" Target="../activeX/activeX43.xml"/><Relationship Id="rId60" Type="http://schemas.openxmlformats.org/officeDocument/2006/relationships/control" Target="../activeX/activeX50.xml"/><Relationship Id="rId65" Type="http://schemas.openxmlformats.org/officeDocument/2006/relationships/control" Target="../activeX/activeX55.xml"/><Relationship Id="rId73" Type="http://schemas.openxmlformats.org/officeDocument/2006/relationships/control" Target="../activeX/activeX63.xml"/><Relationship Id="rId78" Type="http://schemas.openxmlformats.org/officeDocument/2006/relationships/control" Target="../activeX/activeX68.xml"/><Relationship Id="rId81" Type="http://schemas.openxmlformats.org/officeDocument/2006/relationships/control" Target="../activeX/activeX71.xml"/><Relationship Id="rId86" Type="http://schemas.openxmlformats.org/officeDocument/2006/relationships/control" Target="../activeX/activeX76.xml"/><Relationship Id="rId94" Type="http://schemas.openxmlformats.org/officeDocument/2006/relationships/control" Target="../activeX/activeX84.xml"/><Relationship Id="rId99" Type="http://schemas.openxmlformats.org/officeDocument/2006/relationships/control" Target="../activeX/activeX89.xml"/><Relationship Id="rId101" Type="http://schemas.openxmlformats.org/officeDocument/2006/relationships/control" Target="../activeX/activeX91.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7.xml"/><Relationship Id="rId18" Type="http://schemas.openxmlformats.org/officeDocument/2006/relationships/control" Target="../activeX/activeX11.xml"/><Relationship Id="rId39" Type="http://schemas.openxmlformats.org/officeDocument/2006/relationships/control" Target="../activeX/activeX30.xml"/><Relationship Id="rId34" Type="http://schemas.openxmlformats.org/officeDocument/2006/relationships/control" Target="../activeX/activeX25.xml"/><Relationship Id="rId50" Type="http://schemas.openxmlformats.org/officeDocument/2006/relationships/control" Target="../activeX/activeX41.xml"/><Relationship Id="rId55" Type="http://schemas.openxmlformats.org/officeDocument/2006/relationships/control" Target="../activeX/activeX45.xml"/><Relationship Id="rId76" Type="http://schemas.openxmlformats.org/officeDocument/2006/relationships/control" Target="../activeX/activeX66.xml"/><Relationship Id="rId97" Type="http://schemas.openxmlformats.org/officeDocument/2006/relationships/control" Target="../activeX/activeX87.xml"/><Relationship Id="rId104" Type="http://schemas.openxmlformats.org/officeDocument/2006/relationships/control" Target="../activeX/activeX93.xml"/><Relationship Id="rId7" Type="http://schemas.openxmlformats.org/officeDocument/2006/relationships/control" Target="../activeX/activeX2.xml"/><Relationship Id="rId71" Type="http://schemas.openxmlformats.org/officeDocument/2006/relationships/control" Target="../activeX/activeX61.xml"/><Relationship Id="rId92" Type="http://schemas.openxmlformats.org/officeDocument/2006/relationships/control" Target="../activeX/activeX82.xml"/><Relationship Id="rId2" Type="http://schemas.openxmlformats.org/officeDocument/2006/relationships/customProperty" Target="../customProperty1.bin"/><Relationship Id="rId29" Type="http://schemas.openxmlformats.org/officeDocument/2006/relationships/control" Target="../activeX/activeX21.xml"/><Relationship Id="rId24" Type="http://schemas.openxmlformats.org/officeDocument/2006/relationships/control" Target="../activeX/activeX16.xml"/><Relationship Id="rId40" Type="http://schemas.openxmlformats.org/officeDocument/2006/relationships/control" Target="../activeX/activeX31.xml"/><Relationship Id="rId45" Type="http://schemas.openxmlformats.org/officeDocument/2006/relationships/control" Target="../activeX/activeX36.xml"/><Relationship Id="rId66" Type="http://schemas.openxmlformats.org/officeDocument/2006/relationships/control" Target="../activeX/activeX56.xml"/><Relationship Id="rId87" Type="http://schemas.openxmlformats.org/officeDocument/2006/relationships/control" Target="../activeX/activeX77.xml"/><Relationship Id="rId61" Type="http://schemas.openxmlformats.org/officeDocument/2006/relationships/control" Target="../activeX/activeX51.xml"/><Relationship Id="rId82" Type="http://schemas.openxmlformats.org/officeDocument/2006/relationships/control" Target="../activeX/activeX72.xml"/><Relationship Id="rId19" Type="http://schemas.openxmlformats.org/officeDocument/2006/relationships/control" Target="../activeX/activeX12.xml"/><Relationship Id="rId14" Type="http://schemas.openxmlformats.org/officeDocument/2006/relationships/control" Target="../activeX/activeX8.xml"/><Relationship Id="rId30" Type="http://schemas.openxmlformats.org/officeDocument/2006/relationships/control" Target="../activeX/activeX22.xml"/><Relationship Id="rId35" Type="http://schemas.openxmlformats.org/officeDocument/2006/relationships/control" Target="../activeX/activeX26.xml"/><Relationship Id="rId56" Type="http://schemas.openxmlformats.org/officeDocument/2006/relationships/control" Target="../activeX/activeX46.xml"/><Relationship Id="rId77" Type="http://schemas.openxmlformats.org/officeDocument/2006/relationships/control" Target="../activeX/activeX67.xml"/><Relationship Id="rId100" Type="http://schemas.openxmlformats.org/officeDocument/2006/relationships/control" Target="../activeX/activeX90.xml"/><Relationship Id="rId105" Type="http://schemas.openxmlformats.org/officeDocument/2006/relationships/control" Target="../activeX/activeX94.xml"/><Relationship Id="rId8" Type="http://schemas.openxmlformats.org/officeDocument/2006/relationships/image" Target="../media/image2.emf"/><Relationship Id="rId51" Type="http://schemas.openxmlformats.org/officeDocument/2006/relationships/control" Target="../activeX/activeX42.xml"/><Relationship Id="rId72" Type="http://schemas.openxmlformats.org/officeDocument/2006/relationships/control" Target="../activeX/activeX62.xml"/><Relationship Id="rId93" Type="http://schemas.openxmlformats.org/officeDocument/2006/relationships/control" Target="../activeX/activeX83.xml"/><Relationship Id="rId98" Type="http://schemas.openxmlformats.org/officeDocument/2006/relationships/control" Target="../activeX/activeX88.xml"/><Relationship Id="rId3" Type="http://schemas.openxmlformats.org/officeDocument/2006/relationships/drawing" Target="../drawings/drawing1.xml"/><Relationship Id="rId25" Type="http://schemas.openxmlformats.org/officeDocument/2006/relationships/control" Target="../activeX/activeX17.xml"/><Relationship Id="rId46" Type="http://schemas.openxmlformats.org/officeDocument/2006/relationships/control" Target="../activeX/activeX37.xml"/><Relationship Id="rId67" Type="http://schemas.openxmlformats.org/officeDocument/2006/relationships/control" Target="../activeX/activeX57.xml"/></Relationships>
</file>

<file path=xl/worksheets/_rels/sheet2.xml.rels><?xml version="1.0" encoding="UTF-8" standalone="yes"?>
<Relationships xmlns="http://schemas.openxmlformats.org/package/2006/relationships"><Relationship Id="rId26" Type="http://schemas.openxmlformats.org/officeDocument/2006/relationships/control" Target="../activeX/activeX113.xml"/><Relationship Id="rId21" Type="http://schemas.openxmlformats.org/officeDocument/2006/relationships/control" Target="../activeX/activeX108.xml"/><Relationship Id="rId42" Type="http://schemas.openxmlformats.org/officeDocument/2006/relationships/control" Target="../activeX/activeX128.xml"/><Relationship Id="rId47" Type="http://schemas.openxmlformats.org/officeDocument/2006/relationships/control" Target="../activeX/activeX133.xml"/><Relationship Id="rId63" Type="http://schemas.openxmlformats.org/officeDocument/2006/relationships/control" Target="../activeX/activeX149.xml"/><Relationship Id="rId68" Type="http://schemas.openxmlformats.org/officeDocument/2006/relationships/control" Target="../activeX/activeX154.xml"/><Relationship Id="rId7" Type="http://schemas.openxmlformats.org/officeDocument/2006/relationships/control" Target="../activeX/activeX96.xml"/><Relationship Id="rId2" Type="http://schemas.openxmlformats.org/officeDocument/2006/relationships/customProperty" Target="../customProperty2.bin"/><Relationship Id="rId16" Type="http://schemas.openxmlformats.org/officeDocument/2006/relationships/control" Target="../activeX/activeX103.xml"/><Relationship Id="rId29" Type="http://schemas.openxmlformats.org/officeDocument/2006/relationships/control" Target="../activeX/activeX116.xml"/><Relationship Id="rId11" Type="http://schemas.openxmlformats.org/officeDocument/2006/relationships/control" Target="../activeX/activeX99.xml"/><Relationship Id="rId24" Type="http://schemas.openxmlformats.org/officeDocument/2006/relationships/control" Target="../activeX/activeX111.xml"/><Relationship Id="rId32" Type="http://schemas.openxmlformats.org/officeDocument/2006/relationships/control" Target="../activeX/activeX119.xml"/><Relationship Id="rId37" Type="http://schemas.openxmlformats.org/officeDocument/2006/relationships/image" Target="../media/image2.emf"/><Relationship Id="rId40" Type="http://schemas.openxmlformats.org/officeDocument/2006/relationships/control" Target="../activeX/activeX126.xml"/><Relationship Id="rId45" Type="http://schemas.openxmlformats.org/officeDocument/2006/relationships/control" Target="../activeX/activeX131.xml"/><Relationship Id="rId53" Type="http://schemas.openxmlformats.org/officeDocument/2006/relationships/control" Target="../activeX/activeX139.xml"/><Relationship Id="rId58" Type="http://schemas.openxmlformats.org/officeDocument/2006/relationships/control" Target="../activeX/activeX144.xml"/><Relationship Id="rId66" Type="http://schemas.openxmlformats.org/officeDocument/2006/relationships/control" Target="../activeX/activeX152.xml"/><Relationship Id="rId5" Type="http://schemas.openxmlformats.org/officeDocument/2006/relationships/control" Target="../activeX/activeX95.xml"/><Relationship Id="rId61" Type="http://schemas.openxmlformats.org/officeDocument/2006/relationships/control" Target="../activeX/activeX147.xml"/><Relationship Id="rId19" Type="http://schemas.openxmlformats.org/officeDocument/2006/relationships/control" Target="../activeX/activeX106.xml"/><Relationship Id="rId14" Type="http://schemas.openxmlformats.org/officeDocument/2006/relationships/control" Target="../activeX/activeX102.xml"/><Relationship Id="rId22" Type="http://schemas.openxmlformats.org/officeDocument/2006/relationships/control" Target="../activeX/activeX109.xml"/><Relationship Id="rId27" Type="http://schemas.openxmlformats.org/officeDocument/2006/relationships/control" Target="../activeX/activeX114.xml"/><Relationship Id="rId30" Type="http://schemas.openxmlformats.org/officeDocument/2006/relationships/control" Target="../activeX/activeX117.xml"/><Relationship Id="rId35" Type="http://schemas.openxmlformats.org/officeDocument/2006/relationships/control" Target="../activeX/activeX122.xml"/><Relationship Id="rId43" Type="http://schemas.openxmlformats.org/officeDocument/2006/relationships/control" Target="../activeX/activeX129.xml"/><Relationship Id="rId48" Type="http://schemas.openxmlformats.org/officeDocument/2006/relationships/control" Target="../activeX/activeX134.xml"/><Relationship Id="rId56" Type="http://schemas.openxmlformats.org/officeDocument/2006/relationships/control" Target="../activeX/activeX142.xml"/><Relationship Id="rId64" Type="http://schemas.openxmlformats.org/officeDocument/2006/relationships/control" Target="../activeX/activeX150.xml"/><Relationship Id="rId69" Type="http://schemas.openxmlformats.org/officeDocument/2006/relationships/control" Target="../activeX/activeX155.xml"/><Relationship Id="rId8" Type="http://schemas.openxmlformats.org/officeDocument/2006/relationships/image" Target="../media/image5.emf"/><Relationship Id="rId51" Type="http://schemas.openxmlformats.org/officeDocument/2006/relationships/control" Target="../activeX/activeX137.xml"/><Relationship Id="rId3" Type="http://schemas.openxmlformats.org/officeDocument/2006/relationships/drawing" Target="../drawings/drawing2.xml"/><Relationship Id="rId12" Type="http://schemas.openxmlformats.org/officeDocument/2006/relationships/control" Target="../activeX/activeX100.xml"/><Relationship Id="rId17" Type="http://schemas.openxmlformats.org/officeDocument/2006/relationships/control" Target="../activeX/activeX104.xml"/><Relationship Id="rId25" Type="http://schemas.openxmlformats.org/officeDocument/2006/relationships/control" Target="../activeX/activeX112.xml"/><Relationship Id="rId33" Type="http://schemas.openxmlformats.org/officeDocument/2006/relationships/control" Target="../activeX/activeX120.xml"/><Relationship Id="rId38" Type="http://schemas.openxmlformats.org/officeDocument/2006/relationships/control" Target="../activeX/activeX124.xml"/><Relationship Id="rId46" Type="http://schemas.openxmlformats.org/officeDocument/2006/relationships/control" Target="../activeX/activeX132.xml"/><Relationship Id="rId59" Type="http://schemas.openxmlformats.org/officeDocument/2006/relationships/control" Target="../activeX/activeX145.xml"/><Relationship Id="rId67" Type="http://schemas.openxmlformats.org/officeDocument/2006/relationships/control" Target="../activeX/activeX153.xml"/><Relationship Id="rId20" Type="http://schemas.openxmlformats.org/officeDocument/2006/relationships/control" Target="../activeX/activeX107.xml"/><Relationship Id="rId41" Type="http://schemas.openxmlformats.org/officeDocument/2006/relationships/control" Target="../activeX/activeX127.xml"/><Relationship Id="rId54" Type="http://schemas.openxmlformats.org/officeDocument/2006/relationships/control" Target="../activeX/activeX140.xml"/><Relationship Id="rId62" Type="http://schemas.openxmlformats.org/officeDocument/2006/relationships/control" Target="../activeX/activeX148.xml"/><Relationship Id="rId1" Type="http://schemas.openxmlformats.org/officeDocument/2006/relationships/printerSettings" Target="../printerSettings/printerSettings2.bin"/><Relationship Id="rId6" Type="http://schemas.openxmlformats.org/officeDocument/2006/relationships/image" Target="../media/image1.emf"/><Relationship Id="rId15" Type="http://schemas.openxmlformats.org/officeDocument/2006/relationships/image" Target="../media/image7.emf"/><Relationship Id="rId23" Type="http://schemas.openxmlformats.org/officeDocument/2006/relationships/control" Target="../activeX/activeX110.xml"/><Relationship Id="rId28" Type="http://schemas.openxmlformats.org/officeDocument/2006/relationships/control" Target="../activeX/activeX115.xml"/><Relationship Id="rId36" Type="http://schemas.openxmlformats.org/officeDocument/2006/relationships/control" Target="../activeX/activeX123.xml"/><Relationship Id="rId49" Type="http://schemas.openxmlformats.org/officeDocument/2006/relationships/control" Target="../activeX/activeX135.xml"/><Relationship Id="rId57" Type="http://schemas.openxmlformats.org/officeDocument/2006/relationships/control" Target="../activeX/activeX143.xml"/><Relationship Id="rId10" Type="http://schemas.openxmlformats.org/officeDocument/2006/relationships/control" Target="../activeX/activeX98.xml"/><Relationship Id="rId31" Type="http://schemas.openxmlformats.org/officeDocument/2006/relationships/control" Target="../activeX/activeX118.xml"/><Relationship Id="rId44" Type="http://schemas.openxmlformats.org/officeDocument/2006/relationships/control" Target="../activeX/activeX130.xml"/><Relationship Id="rId52" Type="http://schemas.openxmlformats.org/officeDocument/2006/relationships/control" Target="../activeX/activeX138.xml"/><Relationship Id="rId60" Type="http://schemas.openxmlformats.org/officeDocument/2006/relationships/control" Target="../activeX/activeX146.xml"/><Relationship Id="rId65" Type="http://schemas.openxmlformats.org/officeDocument/2006/relationships/control" Target="../activeX/activeX151.xml"/><Relationship Id="rId4" Type="http://schemas.openxmlformats.org/officeDocument/2006/relationships/vmlDrawing" Target="../drawings/vmlDrawing2.vml"/><Relationship Id="rId9" Type="http://schemas.openxmlformats.org/officeDocument/2006/relationships/control" Target="../activeX/activeX97.xml"/><Relationship Id="rId13" Type="http://schemas.openxmlformats.org/officeDocument/2006/relationships/control" Target="../activeX/activeX101.xml"/><Relationship Id="rId18" Type="http://schemas.openxmlformats.org/officeDocument/2006/relationships/control" Target="../activeX/activeX105.xml"/><Relationship Id="rId39" Type="http://schemas.openxmlformats.org/officeDocument/2006/relationships/control" Target="../activeX/activeX125.xml"/><Relationship Id="rId34" Type="http://schemas.openxmlformats.org/officeDocument/2006/relationships/control" Target="../activeX/activeX121.xml"/><Relationship Id="rId50" Type="http://schemas.openxmlformats.org/officeDocument/2006/relationships/control" Target="../activeX/activeX136.xml"/><Relationship Id="rId55" Type="http://schemas.openxmlformats.org/officeDocument/2006/relationships/control" Target="../activeX/activeX141.xml"/></Relationships>
</file>

<file path=xl/worksheets/_rels/sheet3.xml.rels><?xml version="1.0" encoding="UTF-8" standalone="yes"?>
<Relationships xmlns="http://schemas.openxmlformats.org/package/2006/relationships"><Relationship Id="rId26" Type="http://schemas.openxmlformats.org/officeDocument/2006/relationships/control" Target="../activeX/activeX174.xml"/><Relationship Id="rId21" Type="http://schemas.openxmlformats.org/officeDocument/2006/relationships/control" Target="../activeX/activeX170.xml"/><Relationship Id="rId42" Type="http://schemas.openxmlformats.org/officeDocument/2006/relationships/control" Target="../activeX/activeX190.xml"/><Relationship Id="rId47" Type="http://schemas.openxmlformats.org/officeDocument/2006/relationships/control" Target="../activeX/activeX194.xml"/><Relationship Id="rId63" Type="http://schemas.openxmlformats.org/officeDocument/2006/relationships/control" Target="../activeX/activeX210.xml"/><Relationship Id="rId68" Type="http://schemas.openxmlformats.org/officeDocument/2006/relationships/control" Target="../activeX/activeX215.xml"/><Relationship Id="rId7" Type="http://schemas.openxmlformats.org/officeDocument/2006/relationships/control" Target="../activeX/activeX157.xml"/><Relationship Id="rId2" Type="http://schemas.openxmlformats.org/officeDocument/2006/relationships/customProperty" Target="../customProperty3.bin"/><Relationship Id="rId16" Type="http://schemas.openxmlformats.org/officeDocument/2006/relationships/control" Target="../activeX/activeX165.xml"/><Relationship Id="rId29" Type="http://schemas.openxmlformats.org/officeDocument/2006/relationships/control" Target="../activeX/activeX177.xml"/><Relationship Id="rId11" Type="http://schemas.openxmlformats.org/officeDocument/2006/relationships/control" Target="../activeX/activeX160.xml"/><Relationship Id="rId24" Type="http://schemas.openxmlformats.org/officeDocument/2006/relationships/image" Target="../media/image7.emf"/><Relationship Id="rId32" Type="http://schemas.openxmlformats.org/officeDocument/2006/relationships/control" Target="../activeX/activeX180.xml"/><Relationship Id="rId37" Type="http://schemas.openxmlformats.org/officeDocument/2006/relationships/control" Target="../activeX/activeX185.xml"/><Relationship Id="rId40" Type="http://schemas.openxmlformats.org/officeDocument/2006/relationships/control" Target="../activeX/activeX188.xml"/><Relationship Id="rId45" Type="http://schemas.openxmlformats.org/officeDocument/2006/relationships/image" Target="../media/image2.emf"/><Relationship Id="rId53" Type="http://schemas.openxmlformats.org/officeDocument/2006/relationships/control" Target="../activeX/activeX200.xml"/><Relationship Id="rId58" Type="http://schemas.openxmlformats.org/officeDocument/2006/relationships/control" Target="../activeX/activeX205.xml"/><Relationship Id="rId66" Type="http://schemas.openxmlformats.org/officeDocument/2006/relationships/control" Target="../activeX/activeX213.xml"/><Relationship Id="rId5" Type="http://schemas.openxmlformats.org/officeDocument/2006/relationships/control" Target="../activeX/activeX156.xml"/><Relationship Id="rId61" Type="http://schemas.openxmlformats.org/officeDocument/2006/relationships/control" Target="../activeX/activeX208.xml"/><Relationship Id="rId19" Type="http://schemas.openxmlformats.org/officeDocument/2006/relationships/control" Target="../activeX/activeX168.xml"/><Relationship Id="rId14" Type="http://schemas.openxmlformats.org/officeDocument/2006/relationships/control" Target="../activeX/activeX163.xml"/><Relationship Id="rId22" Type="http://schemas.openxmlformats.org/officeDocument/2006/relationships/control" Target="../activeX/activeX171.xml"/><Relationship Id="rId27" Type="http://schemas.openxmlformats.org/officeDocument/2006/relationships/control" Target="../activeX/activeX175.xml"/><Relationship Id="rId30" Type="http://schemas.openxmlformats.org/officeDocument/2006/relationships/control" Target="../activeX/activeX178.xml"/><Relationship Id="rId35" Type="http://schemas.openxmlformats.org/officeDocument/2006/relationships/control" Target="../activeX/activeX183.xml"/><Relationship Id="rId43" Type="http://schemas.openxmlformats.org/officeDocument/2006/relationships/control" Target="../activeX/activeX191.xml"/><Relationship Id="rId48" Type="http://schemas.openxmlformats.org/officeDocument/2006/relationships/control" Target="../activeX/activeX195.xml"/><Relationship Id="rId56" Type="http://schemas.openxmlformats.org/officeDocument/2006/relationships/control" Target="../activeX/activeX203.xml"/><Relationship Id="rId64" Type="http://schemas.openxmlformats.org/officeDocument/2006/relationships/control" Target="../activeX/activeX211.xml"/><Relationship Id="rId69" Type="http://schemas.openxmlformats.org/officeDocument/2006/relationships/control" Target="../activeX/activeX216.xml"/><Relationship Id="rId8" Type="http://schemas.openxmlformats.org/officeDocument/2006/relationships/control" Target="../activeX/activeX158.xml"/><Relationship Id="rId51" Type="http://schemas.openxmlformats.org/officeDocument/2006/relationships/control" Target="../activeX/activeX198.xml"/><Relationship Id="rId3" Type="http://schemas.openxmlformats.org/officeDocument/2006/relationships/drawing" Target="../drawings/drawing3.xml"/><Relationship Id="rId12" Type="http://schemas.openxmlformats.org/officeDocument/2006/relationships/control" Target="../activeX/activeX161.xml"/><Relationship Id="rId17" Type="http://schemas.openxmlformats.org/officeDocument/2006/relationships/control" Target="../activeX/activeX166.xml"/><Relationship Id="rId25" Type="http://schemas.openxmlformats.org/officeDocument/2006/relationships/control" Target="../activeX/activeX173.xml"/><Relationship Id="rId33" Type="http://schemas.openxmlformats.org/officeDocument/2006/relationships/control" Target="../activeX/activeX181.xml"/><Relationship Id="rId38" Type="http://schemas.openxmlformats.org/officeDocument/2006/relationships/control" Target="../activeX/activeX186.xml"/><Relationship Id="rId46" Type="http://schemas.openxmlformats.org/officeDocument/2006/relationships/control" Target="../activeX/activeX193.xml"/><Relationship Id="rId59" Type="http://schemas.openxmlformats.org/officeDocument/2006/relationships/control" Target="../activeX/activeX206.xml"/><Relationship Id="rId67" Type="http://schemas.openxmlformats.org/officeDocument/2006/relationships/control" Target="../activeX/activeX214.xml"/><Relationship Id="rId20" Type="http://schemas.openxmlformats.org/officeDocument/2006/relationships/control" Target="../activeX/activeX169.xml"/><Relationship Id="rId41" Type="http://schemas.openxmlformats.org/officeDocument/2006/relationships/control" Target="../activeX/activeX189.xml"/><Relationship Id="rId54" Type="http://schemas.openxmlformats.org/officeDocument/2006/relationships/control" Target="../activeX/activeX201.xml"/><Relationship Id="rId62" Type="http://schemas.openxmlformats.org/officeDocument/2006/relationships/control" Target="../activeX/activeX209.xml"/><Relationship Id="rId70" Type="http://schemas.openxmlformats.org/officeDocument/2006/relationships/control" Target="../activeX/activeX217.xml"/><Relationship Id="rId1" Type="http://schemas.openxmlformats.org/officeDocument/2006/relationships/printerSettings" Target="../printerSettings/printerSettings3.bin"/><Relationship Id="rId6" Type="http://schemas.openxmlformats.org/officeDocument/2006/relationships/image" Target="../media/image1.emf"/><Relationship Id="rId15" Type="http://schemas.openxmlformats.org/officeDocument/2006/relationships/control" Target="../activeX/activeX164.xml"/><Relationship Id="rId23" Type="http://schemas.openxmlformats.org/officeDocument/2006/relationships/control" Target="../activeX/activeX172.xml"/><Relationship Id="rId28" Type="http://schemas.openxmlformats.org/officeDocument/2006/relationships/control" Target="../activeX/activeX176.xml"/><Relationship Id="rId36" Type="http://schemas.openxmlformats.org/officeDocument/2006/relationships/control" Target="../activeX/activeX184.xml"/><Relationship Id="rId49" Type="http://schemas.openxmlformats.org/officeDocument/2006/relationships/control" Target="../activeX/activeX196.xml"/><Relationship Id="rId57" Type="http://schemas.openxmlformats.org/officeDocument/2006/relationships/control" Target="../activeX/activeX204.xml"/><Relationship Id="rId10" Type="http://schemas.openxmlformats.org/officeDocument/2006/relationships/control" Target="../activeX/activeX159.xml"/><Relationship Id="rId31" Type="http://schemas.openxmlformats.org/officeDocument/2006/relationships/control" Target="../activeX/activeX179.xml"/><Relationship Id="rId44" Type="http://schemas.openxmlformats.org/officeDocument/2006/relationships/control" Target="../activeX/activeX192.xml"/><Relationship Id="rId52" Type="http://schemas.openxmlformats.org/officeDocument/2006/relationships/control" Target="../activeX/activeX199.xml"/><Relationship Id="rId60" Type="http://schemas.openxmlformats.org/officeDocument/2006/relationships/control" Target="../activeX/activeX207.xml"/><Relationship Id="rId65" Type="http://schemas.openxmlformats.org/officeDocument/2006/relationships/control" Target="../activeX/activeX212.xml"/><Relationship Id="rId4" Type="http://schemas.openxmlformats.org/officeDocument/2006/relationships/vmlDrawing" Target="../drawings/vmlDrawing3.vml"/><Relationship Id="rId9" Type="http://schemas.openxmlformats.org/officeDocument/2006/relationships/image" Target="../media/image5.emf"/><Relationship Id="rId13" Type="http://schemas.openxmlformats.org/officeDocument/2006/relationships/control" Target="../activeX/activeX162.xml"/><Relationship Id="rId18" Type="http://schemas.openxmlformats.org/officeDocument/2006/relationships/control" Target="../activeX/activeX167.xml"/><Relationship Id="rId39" Type="http://schemas.openxmlformats.org/officeDocument/2006/relationships/control" Target="../activeX/activeX187.xml"/><Relationship Id="rId34" Type="http://schemas.openxmlformats.org/officeDocument/2006/relationships/control" Target="../activeX/activeX182.xml"/><Relationship Id="rId50" Type="http://schemas.openxmlformats.org/officeDocument/2006/relationships/control" Target="../activeX/activeX197.xml"/><Relationship Id="rId55" Type="http://schemas.openxmlformats.org/officeDocument/2006/relationships/control" Target="../activeX/activeX20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223.xml"/><Relationship Id="rId3" Type="http://schemas.openxmlformats.org/officeDocument/2006/relationships/drawing" Target="../drawings/drawing4.xml"/><Relationship Id="rId7" Type="http://schemas.openxmlformats.org/officeDocument/2006/relationships/control" Target="../activeX/activeX219.xml"/><Relationship Id="rId12" Type="http://schemas.openxmlformats.org/officeDocument/2006/relationships/control" Target="../activeX/activeX222.xml"/><Relationship Id="rId17" Type="http://schemas.openxmlformats.org/officeDocument/2006/relationships/control" Target="../activeX/activeX227.xml"/><Relationship Id="rId2" Type="http://schemas.openxmlformats.org/officeDocument/2006/relationships/customProperty" Target="../customProperty4.bin"/><Relationship Id="rId16" Type="http://schemas.openxmlformats.org/officeDocument/2006/relationships/control" Target="../activeX/activeX226.xml"/><Relationship Id="rId1" Type="http://schemas.openxmlformats.org/officeDocument/2006/relationships/printerSettings" Target="../printerSettings/printerSettings4.bin"/><Relationship Id="rId6" Type="http://schemas.openxmlformats.org/officeDocument/2006/relationships/image" Target="../media/image1.emf"/><Relationship Id="rId11" Type="http://schemas.openxmlformats.org/officeDocument/2006/relationships/control" Target="../activeX/activeX221.xml"/><Relationship Id="rId5" Type="http://schemas.openxmlformats.org/officeDocument/2006/relationships/control" Target="../activeX/activeX218.xml"/><Relationship Id="rId15" Type="http://schemas.openxmlformats.org/officeDocument/2006/relationships/control" Target="../activeX/activeX225.xml"/><Relationship Id="rId10" Type="http://schemas.openxmlformats.org/officeDocument/2006/relationships/image" Target="../media/image7.emf"/><Relationship Id="rId4" Type="http://schemas.openxmlformats.org/officeDocument/2006/relationships/vmlDrawing" Target="../drawings/vmlDrawing4.vml"/><Relationship Id="rId9" Type="http://schemas.openxmlformats.org/officeDocument/2006/relationships/control" Target="../activeX/activeX220.xml"/><Relationship Id="rId14" Type="http://schemas.openxmlformats.org/officeDocument/2006/relationships/control" Target="../activeX/activeX22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30.xml"/><Relationship Id="rId13" Type="http://schemas.openxmlformats.org/officeDocument/2006/relationships/control" Target="../activeX/activeX234.xml"/><Relationship Id="rId3" Type="http://schemas.openxmlformats.org/officeDocument/2006/relationships/drawing" Target="../drawings/drawing5.xml"/><Relationship Id="rId7" Type="http://schemas.openxmlformats.org/officeDocument/2006/relationships/control" Target="../activeX/activeX229.xml"/><Relationship Id="rId12" Type="http://schemas.openxmlformats.org/officeDocument/2006/relationships/control" Target="../activeX/activeX233.xml"/><Relationship Id="rId17" Type="http://schemas.openxmlformats.org/officeDocument/2006/relationships/control" Target="../activeX/activeX237.xml"/><Relationship Id="rId2" Type="http://schemas.openxmlformats.org/officeDocument/2006/relationships/customProperty" Target="../customProperty5.bin"/><Relationship Id="rId16" Type="http://schemas.openxmlformats.org/officeDocument/2006/relationships/image" Target="../media/image7.emf"/><Relationship Id="rId1" Type="http://schemas.openxmlformats.org/officeDocument/2006/relationships/printerSettings" Target="../printerSettings/printerSettings5.bin"/><Relationship Id="rId6" Type="http://schemas.openxmlformats.org/officeDocument/2006/relationships/image" Target="../media/image1.emf"/><Relationship Id="rId11" Type="http://schemas.openxmlformats.org/officeDocument/2006/relationships/control" Target="../activeX/activeX232.xml"/><Relationship Id="rId5" Type="http://schemas.openxmlformats.org/officeDocument/2006/relationships/control" Target="../activeX/activeX228.xml"/><Relationship Id="rId15" Type="http://schemas.openxmlformats.org/officeDocument/2006/relationships/control" Target="../activeX/activeX236.xml"/><Relationship Id="rId10" Type="http://schemas.openxmlformats.org/officeDocument/2006/relationships/control" Target="../activeX/activeX231.xml"/><Relationship Id="rId4" Type="http://schemas.openxmlformats.org/officeDocument/2006/relationships/vmlDrawing" Target="../drawings/vmlDrawing5.vml"/><Relationship Id="rId9" Type="http://schemas.openxmlformats.org/officeDocument/2006/relationships/image" Target="../media/image5.emf"/><Relationship Id="rId14" Type="http://schemas.openxmlformats.org/officeDocument/2006/relationships/control" Target="../activeX/activeX235.xml"/></Relationships>
</file>

<file path=xl/worksheets/_rels/sheet6.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244.xml"/><Relationship Id="rId18" Type="http://schemas.openxmlformats.org/officeDocument/2006/relationships/control" Target="../activeX/activeX248.xml"/><Relationship Id="rId3" Type="http://schemas.openxmlformats.org/officeDocument/2006/relationships/drawing" Target="../drawings/drawing6.xml"/><Relationship Id="rId21" Type="http://schemas.openxmlformats.org/officeDocument/2006/relationships/control" Target="../activeX/activeX251.xml"/><Relationship Id="rId7" Type="http://schemas.openxmlformats.org/officeDocument/2006/relationships/control" Target="../activeX/activeX239.xml"/><Relationship Id="rId12" Type="http://schemas.openxmlformats.org/officeDocument/2006/relationships/control" Target="../activeX/activeX243.xml"/><Relationship Id="rId17" Type="http://schemas.openxmlformats.org/officeDocument/2006/relationships/control" Target="../activeX/activeX247.xml"/><Relationship Id="rId25" Type="http://schemas.openxmlformats.org/officeDocument/2006/relationships/control" Target="../activeX/activeX255.xml"/><Relationship Id="rId2" Type="http://schemas.openxmlformats.org/officeDocument/2006/relationships/customProperty" Target="../customProperty6.bin"/><Relationship Id="rId16" Type="http://schemas.openxmlformats.org/officeDocument/2006/relationships/control" Target="../activeX/activeX246.xml"/><Relationship Id="rId20" Type="http://schemas.openxmlformats.org/officeDocument/2006/relationships/control" Target="../activeX/activeX250.xml"/><Relationship Id="rId1" Type="http://schemas.openxmlformats.org/officeDocument/2006/relationships/printerSettings" Target="../printerSettings/printerSettings6.bin"/><Relationship Id="rId6" Type="http://schemas.openxmlformats.org/officeDocument/2006/relationships/image" Target="../media/image1.emf"/><Relationship Id="rId11" Type="http://schemas.openxmlformats.org/officeDocument/2006/relationships/control" Target="../activeX/activeX242.xml"/><Relationship Id="rId24" Type="http://schemas.openxmlformats.org/officeDocument/2006/relationships/control" Target="../activeX/activeX254.xml"/><Relationship Id="rId5" Type="http://schemas.openxmlformats.org/officeDocument/2006/relationships/control" Target="../activeX/activeX238.xml"/><Relationship Id="rId15" Type="http://schemas.openxmlformats.org/officeDocument/2006/relationships/image" Target="../media/image7.emf"/><Relationship Id="rId23" Type="http://schemas.openxmlformats.org/officeDocument/2006/relationships/control" Target="../activeX/activeX253.xml"/><Relationship Id="rId10" Type="http://schemas.openxmlformats.org/officeDocument/2006/relationships/control" Target="../activeX/activeX241.xml"/><Relationship Id="rId19" Type="http://schemas.openxmlformats.org/officeDocument/2006/relationships/control" Target="../activeX/activeX249.xml"/><Relationship Id="rId4" Type="http://schemas.openxmlformats.org/officeDocument/2006/relationships/vmlDrawing" Target="../drawings/vmlDrawing6.vml"/><Relationship Id="rId9" Type="http://schemas.openxmlformats.org/officeDocument/2006/relationships/control" Target="../activeX/activeX240.xml"/><Relationship Id="rId14" Type="http://schemas.openxmlformats.org/officeDocument/2006/relationships/control" Target="../activeX/activeX245.xml"/><Relationship Id="rId22" Type="http://schemas.openxmlformats.org/officeDocument/2006/relationships/control" Target="../activeX/activeX252.xml"/></Relationships>
</file>

<file path=xl/worksheets/_rels/sheet7.xml.rels><?xml version="1.0" encoding="UTF-8" standalone="yes"?>
<Relationships xmlns="http://schemas.openxmlformats.org/package/2006/relationships"><Relationship Id="rId13" Type="http://schemas.openxmlformats.org/officeDocument/2006/relationships/control" Target="../activeX/activeX261.xml"/><Relationship Id="rId18" Type="http://schemas.openxmlformats.org/officeDocument/2006/relationships/control" Target="../activeX/activeX266.xml"/><Relationship Id="rId26" Type="http://schemas.openxmlformats.org/officeDocument/2006/relationships/control" Target="../activeX/activeX274.xml"/><Relationship Id="rId3" Type="http://schemas.openxmlformats.org/officeDocument/2006/relationships/drawing" Target="../drawings/drawing7.xml"/><Relationship Id="rId21" Type="http://schemas.openxmlformats.org/officeDocument/2006/relationships/control" Target="../activeX/activeX269.xml"/><Relationship Id="rId34" Type="http://schemas.openxmlformats.org/officeDocument/2006/relationships/control" Target="../activeX/activeX282.xml"/><Relationship Id="rId7" Type="http://schemas.openxmlformats.org/officeDocument/2006/relationships/control" Target="../activeX/activeX257.xml"/><Relationship Id="rId12" Type="http://schemas.openxmlformats.org/officeDocument/2006/relationships/control" Target="../activeX/activeX260.xml"/><Relationship Id="rId17" Type="http://schemas.openxmlformats.org/officeDocument/2006/relationships/control" Target="../activeX/activeX265.xml"/><Relationship Id="rId25" Type="http://schemas.openxmlformats.org/officeDocument/2006/relationships/control" Target="../activeX/activeX273.xml"/><Relationship Id="rId33" Type="http://schemas.openxmlformats.org/officeDocument/2006/relationships/control" Target="../activeX/activeX281.xml"/><Relationship Id="rId2" Type="http://schemas.openxmlformats.org/officeDocument/2006/relationships/customProperty" Target="../customProperty7.bin"/><Relationship Id="rId16" Type="http://schemas.openxmlformats.org/officeDocument/2006/relationships/control" Target="../activeX/activeX264.xml"/><Relationship Id="rId20" Type="http://schemas.openxmlformats.org/officeDocument/2006/relationships/control" Target="../activeX/activeX268.xml"/><Relationship Id="rId29" Type="http://schemas.openxmlformats.org/officeDocument/2006/relationships/control" Target="../activeX/activeX277.xml"/><Relationship Id="rId1" Type="http://schemas.openxmlformats.org/officeDocument/2006/relationships/printerSettings" Target="../printerSettings/printerSettings7.bin"/><Relationship Id="rId6" Type="http://schemas.openxmlformats.org/officeDocument/2006/relationships/image" Target="../media/image5.emf"/><Relationship Id="rId11" Type="http://schemas.openxmlformats.org/officeDocument/2006/relationships/control" Target="../activeX/activeX259.xml"/><Relationship Id="rId24" Type="http://schemas.openxmlformats.org/officeDocument/2006/relationships/control" Target="../activeX/activeX272.xml"/><Relationship Id="rId32" Type="http://schemas.openxmlformats.org/officeDocument/2006/relationships/control" Target="../activeX/activeX280.xml"/><Relationship Id="rId5" Type="http://schemas.openxmlformats.org/officeDocument/2006/relationships/control" Target="../activeX/activeX256.xml"/><Relationship Id="rId15" Type="http://schemas.openxmlformats.org/officeDocument/2006/relationships/control" Target="../activeX/activeX263.xml"/><Relationship Id="rId23" Type="http://schemas.openxmlformats.org/officeDocument/2006/relationships/control" Target="../activeX/activeX271.xml"/><Relationship Id="rId28" Type="http://schemas.openxmlformats.org/officeDocument/2006/relationships/control" Target="../activeX/activeX276.xml"/><Relationship Id="rId10" Type="http://schemas.openxmlformats.org/officeDocument/2006/relationships/image" Target="../media/image1.emf"/><Relationship Id="rId19" Type="http://schemas.openxmlformats.org/officeDocument/2006/relationships/control" Target="../activeX/activeX267.xml"/><Relationship Id="rId31" Type="http://schemas.openxmlformats.org/officeDocument/2006/relationships/control" Target="../activeX/activeX279.xml"/><Relationship Id="rId4" Type="http://schemas.openxmlformats.org/officeDocument/2006/relationships/vmlDrawing" Target="../drawings/vmlDrawing7.vml"/><Relationship Id="rId9" Type="http://schemas.openxmlformats.org/officeDocument/2006/relationships/control" Target="../activeX/activeX258.xml"/><Relationship Id="rId14" Type="http://schemas.openxmlformats.org/officeDocument/2006/relationships/control" Target="../activeX/activeX262.xml"/><Relationship Id="rId22" Type="http://schemas.openxmlformats.org/officeDocument/2006/relationships/control" Target="../activeX/activeX270.xml"/><Relationship Id="rId27" Type="http://schemas.openxmlformats.org/officeDocument/2006/relationships/control" Target="../activeX/activeX275.xml"/><Relationship Id="rId30" Type="http://schemas.openxmlformats.org/officeDocument/2006/relationships/control" Target="../activeX/activeX278.xml"/><Relationship Id="rId35" Type="http://schemas.openxmlformats.org/officeDocument/2006/relationships/control" Target="../activeX/activeX283.xml"/><Relationship Id="rId8" Type="http://schemas.openxmlformats.org/officeDocument/2006/relationships/image" Target="../media/image7.emf"/></Relationships>
</file>

<file path=xl/worksheets/_rels/sheet8.xml.rels><?xml version="1.0" encoding="UTF-8" standalone="yes"?>
<Relationships xmlns="http://schemas.openxmlformats.org/package/2006/relationships"><Relationship Id="rId26" Type="http://schemas.openxmlformats.org/officeDocument/2006/relationships/control" Target="../activeX/activeX295.xml"/><Relationship Id="rId117" Type="http://schemas.openxmlformats.org/officeDocument/2006/relationships/image" Target="../media/image64.emf"/><Relationship Id="rId21" Type="http://schemas.openxmlformats.org/officeDocument/2006/relationships/image" Target="../media/image16.emf"/><Relationship Id="rId42" Type="http://schemas.openxmlformats.org/officeDocument/2006/relationships/control" Target="../activeX/activeX303.xml"/><Relationship Id="rId47" Type="http://schemas.openxmlformats.org/officeDocument/2006/relationships/image" Target="../media/image29.emf"/><Relationship Id="rId63" Type="http://schemas.openxmlformats.org/officeDocument/2006/relationships/image" Target="../media/image37.emf"/><Relationship Id="rId68" Type="http://schemas.openxmlformats.org/officeDocument/2006/relationships/control" Target="../activeX/activeX316.xml"/><Relationship Id="rId84" Type="http://schemas.openxmlformats.org/officeDocument/2006/relationships/control" Target="../activeX/activeX324.xml"/><Relationship Id="rId89" Type="http://schemas.openxmlformats.org/officeDocument/2006/relationships/image" Target="../media/image50.emf"/><Relationship Id="rId112" Type="http://schemas.openxmlformats.org/officeDocument/2006/relationships/control" Target="../activeX/activeX338.xml"/><Relationship Id="rId16" Type="http://schemas.openxmlformats.org/officeDocument/2006/relationships/control" Target="../activeX/activeX290.xml"/><Relationship Id="rId107" Type="http://schemas.openxmlformats.org/officeDocument/2006/relationships/image" Target="../media/image59.emf"/><Relationship Id="rId11" Type="http://schemas.openxmlformats.org/officeDocument/2006/relationships/image" Target="../media/image11.emf"/><Relationship Id="rId32" Type="http://schemas.openxmlformats.org/officeDocument/2006/relationships/control" Target="../activeX/activeX298.xml"/><Relationship Id="rId37" Type="http://schemas.openxmlformats.org/officeDocument/2006/relationships/image" Target="../media/image24.emf"/><Relationship Id="rId53" Type="http://schemas.openxmlformats.org/officeDocument/2006/relationships/image" Target="../media/image32.emf"/><Relationship Id="rId58" Type="http://schemas.openxmlformats.org/officeDocument/2006/relationships/control" Target="../activeX/activeX311.xml"/><Relationship Id="rId74" Type="http://schemas.openxmlformats.org/officeDocument/2006/relationships/control" Target="../activeX/activeX319.xml"/><Relationship Id="rId79" Type="http://schemas.openxmlformats.org/officeDocument/2006/relationships/image" Target="../media/image45.emf"/><Relationship Id="rId102" Type="http://schemas.openxmlformats.org/officeDocument/2006/relationships/control" Target="../activeX/activeX333.xml"/><Relationship Id="rId123" Type="http://schemas.openxmlformats.org/officeDocument/2006/relationships/image" Target="../media/image67.emf"/><Relationship Id="rId5" Type="http://schemas.openxmlformats.org/officeDocument/2006/relationships/image" Target="../media/image8.emf"/><Relationship Id="rId90" Type="http://schemas.openxmlformats.org/officeDocument/2006/relationships/control" Target="../activeX/activeX327.xml"/><Relationship Id="rId95" Type="http://schemas.openxmlformats.org/officeDocument/2006/relationships/image" Target="../media/image53.emf"/><Relationship Id="rId22" Type="http://schemas.openxmlformats.org/officeDocument/2006/relationships/control" Target="../activeX/activeX293.xml"/><Relationship Id="rId27" Type="http://schemas.openxmlformats.org/officeDocument/2006/relationships/image" Target="../media/image19.emf"/><Relationship Id="rId43" Type="http://schemas.openxmlformats.org/officeDocument/2006/relationships/image" Target="../media/image27.emf"/><Relationship Id="rId48" Type="http://schemas.openxmlformats.org/officeDocument/2006/relationships/control" Target="../activeX/activeX306.xml"/><Relationship Id="rId64" Type="http://schemas.openxmlformats.org/officeDocument/2006/relationships/control" Target="../activeX/activeX314.xml"/><Relationship Id="rId69" Type="http://schemas.openxmlformats.org/officeDocument/2006/relationships/image" Target="../media/image40.emf"/><Relationship Id="rId113" Type="http://schemas.openxmlformats.org/officeDocument/2006/relationships/image" Target="../media/image62.emf"/><Relationship Id="rId118" Type="http://schemas.openxmlformats.org/officeDocument/2006/relationships/control" Target="../activeX/activeX341.xml"/><Relationship Id="rId80" Type="http://schemas.openxmlformats.org/officeDocument/2006/relationships/control" Target="../activeX/activeX322.xml"/><Relationship Id="rId85" Type="http://schemas.openxmlformats.org/officeDocument/2006/relationships/image" Target="../media/image48.emf"/><Relationship Id="rId12" Type="http://schemas.openxmlformats.org/officeDocument/2006/relationships/control" Target="../activeX/activeX288.xml"/><Relationship Id="rId17" Type="http://schemas.openxmlformats.org/officeDocument/2006/relationships/image" Target="../media/image14.emf"/><Relationship Id="rId33" Type="http://schemas.openxmlformats.org/officeDocument/2006/relationships/image" Target="../media/image22.emf"/><Relationship Id="rId38" Type="http://schemas.openxmlformats.org/officeDocument/2006/relationships/control" Target="../activeX/activeX301.xml"/><Relationship Id="rId59" Type="http://schemas.openxmlformats.org/officeDocument/2006/relationships/image" Target="../media/image35.emf"/><Relationship Id="rId103" Type="http://schemas.openxmlformats.org/officeDocument/2006/relationships/image" Target="../media/image57.emf"/><Relationship Id="rId108" Type="http://schemas.openxmlformats.org/officeDocument/2006/relationships/control" Target="../activeX/activeX336.xml"/><Relationship Id="rId54" Type="http://schemas.openxmlformats.org/officeDocument/2006/relationships/control" Target="../activeX/activeX309.xml"/><Relationship Id="rId70" Type="http://schemas.openxmlformats.org/officeDocument/2006/relationships/control" Target="../activeX/activeX317.xml"/><Relationship Id="rId75" Type="http://schemas.openxmlformats.org/officeDocument/2006/relationships/image" Target="../media/image43.emf"/><Relationship Id="rId91" Type="http://schemas.openxmlformats.org/officeDocument/2006/relationships/image" Target="../media/image51.emf"/><Relationship Id="rId96" Type="http://schemas.openxmlformats.org/officeDocument/2006/relationships/control" Target="../activeX/activeX330.xml"/><Relationship Id="rId1" Type="http://schemas.openxmlformats.org/officeDocument/2006/relationships/customProperty" Target="../customProperty8.bin"/><Relationship Id="rId6" Type="http://schemas.openxmlformats.org/officeDocument/2006/relationships/control" Target="../activeX/activeX285.xml"/><Relationship Id="rId23" Type="http://schemas.openxmlformats.org/officeDocument/2006/relationships/image" Target="../media/image17.emf"/><Relationship Id="rId28" Type="http://schemas.openxmlformats.org/officeDocument/2006/relationships/control" Target="../activeX/activeX296.xml"/><Relationship Id="rId49" Type="http://schemas.openxmlformats.org/officeDocument/2006/relationships/image" Target="../media/image30.emf"/><Relationship Id="rId114" Type="http://schemas.openxmlformats.org/officeDocument/2006/relationships/control" Target="../activeX/activeX339.xml"/><Relationship Id="rId119" Type="http://schemas.openxmlformats.org/officeDocument/2006/relationships/image" Target="../media/image65.emf"/><Relationship Id="rId44" Type="http://schemas.openxmlformats.org/officeDocument/2006/relationships/control" Target="../activeX/activeX304.xml"/><Relationship Id="rId60" Type="http://schemas.openxmlformats.org/officeDocument/2006/relationships/control" Target="../activeX/activeX312.xml"/><Relationship Id="rId65" Type="http://schemas.openxmlformats.org/officeDocument/2006/relationships/image" Target="../media/image38.emf"/><Relationship Id="rId81" Type="http://schemas.openxmlformats.org/officeDocument/2006/relationships/image" Target="../media/image46.emf"/><Relationship Id="rId86" Type="http://schemas.openxmlformats.org/officeDocument/2006/relationships/control" Target="../activeX/activeX325.xml"/><Relationship Id="rId4" Type="http://schemas.openxmlformats.org/officeDocument/2006/relationships/control" Target="../activeX/activeX284.xml"/><Relationship Id="rId9" Type="http://schemas.openxmlformats.org/officeDocument/2006/relationships/image" Target="../media/image10.emf"/><Relationship Id="rId13" Type="http://schemas.openxmlformats.org/officeDocument/2006/relationships/image" Target="../media/image12.emf"/><Relationship Id="rId18" Type="http://schemas.openxmlformats.org/officeDocument/2006/relationships/control" Target="../activeX/activeX291.xml"/><Relationship Id="rId39" Type="http://schemas.openxmlformats.org/officeDocument/2006/relationships/image" Target="../media/image25.emf"/><Relationship Id="rId109" Type="http://schemas.openxmlformats.org/officeDocument/2006/relationships/image" Target="../media/image60.emf"/><Relationship Id="rId34" Type="http://schemas.openxmlformats.org/officeDocument/2006/relationships/control" Target="../activeX/activeX299.xml"/><Relationship Id="rId50" Type="http://schemas.openxmlformats.org/officeDocument/2006/relationships/control" Target="../activeX/activeX307.xml"/><Relationship Id="rId55" Type="http://schemas.openxmlformats.org/officeDocument/2006/relationships/image" Target="../media/image33.emf"/><Relationship Id="rId76" Type="http://schemas.openxmlformats.org/officeDocument/2006/relationships/control" Target="../activeX/activeX320.xml"/><Relationship Id="rId97" Type="http://schemas.openxmlformats.org/officeDocument/2006/relationships/image" Target="../media/image54.emf"/><Relationship Id="rId104" Type="http://schemas.openxmlformats.org/officeDocument/2006/relationships/control" Target="../activeX/activeX334.xml"/><Relationship Id="rId120" Type="http://schemas.openxmlformats.org/officeDocument/2006/relationships/control" Target="../activeX/activeX342.xml"/><Relationship Id="rId7" Type="http://schemas.openxmlformats.org/officeDocument/2006/relationships/image" Target="../media/image9.emf"/><Relationship Id="rId71" Type="http://schemas.openxmlformats.org/officeDocument/2006/relationships/image" Target="../media/image41.emf"/><Relationship Id="rId92" Type="http://schemas.openxmlformats.org/officeDocument/2006/relationships/control" Target="../activeX/activeX328.xml"/><Relationship Id="rId2" Type="http://schemas.openxmlformats.org/officeDocument/2006/relationships/drawing" Target="../drawings/drawing8.xml"/><Relationship Id="rId29" Type="http://schemas.openxmlformats.org/officeDocument/2006/relationships/image" Target="../media/image20.emf"/><Relationship Id="rId24" Type="http://schemas.openxmlformats.org/officeDocument/2006/relationships/control" Target="../activeX/activeX294.xml"/><Relationship Id="rId40" Type="http://schemas.openxmlformats.org/officeDocument/2006/relationships/control" Target="../activeX/activeX302.xml"/><Relationship Id="rId45" Type="http://schemas.openxmlformats.org/officeDocument/2006/relationships/image" Target="../media/image28.emf"/><Relationship Id="rId66" Type="http://schemas.openxmlformats.org/officeDocument/2006/relationships/control" Target="../activeX/activeX315.xml"/><Relationship Id="rId87" Type="http://schemas.openxmlformats.org/officeDocument/2006/relationships/image" Target="../media/image49.emf"/><Relationship Id="rId110" Type="http://schemas.openxmlformats.org/officeDocument/2006/relationships/control" Target="../activeX/activeX337.xml"/><Relationship Id="rId115" Type="http://schemas.openxmlformats.org/officeDocument/2006/relationships/image" Target="../media/image63.emf"/><Relationship Id="rId61" Type="http://schemas.openxmlformats.org/officeDocument/2006/relationships/image" Target="../media/image36.emf"/><Relationship Id="rId82" Type="http://schemas.openxmlformats.org/officeDocument/2006/relationships/control" Target="../activeX/activeX323.xml"/><Relationship Id="rId19" Type="http://schemas.openxmlformats.org/officeDocument/2006/relationships/image" Target="../media/image15.emf"/><Relationship Id="rId14" Type="http://schemas.openxmlformats.org/officeDocument/2006/relationships/control" Target="../activeX/activeX289.xml"/><Relationship Id="rId30" Type="http://schemas.openxmlformats.org/officeDocument/2006/relationships/control" Target="../activeX/activeX297.xml"/><Relationship Id="rId35" Type="http://schemas.openxmlformats.org/officeDocument/2006/relationships/image" Target="../media/image23.emf"/><Relationship Id="rId56" Type="http://schemas.openxmlformats.org/officeDocument/2006/relationships/control" Target="../activeX/activeX310.xml"/><Relationship Id="rId77" Type="http://schemas.openxmlformats.org/officeDocument/2006/relationships/image" Target="../media/image44.emf"/><Relationship Id="rId100" Type="http://schemas.openxmlformats.org/officeDocument/2006/relationships/control" Target="../activeX/activeX332.xml"/><Relationship Id="rId105" Type="http://schemas.openxmlformats.org/officeDocument/2006/relationships/image" Target="../media/image58.emf"/><Relationship Id="rId8" Type="http://schemas.openxmlformats.org/officeDocument/2006/relationships/control" Target="../activeX/activeX286.xml"/><Relationship Id="rId51" Type="http://schemas.openxmlformats.org/officeDocument/2006/relationships/image" Target="../media/image31.emf"/><Relationship Id="rId72" Type="http://schemas.openxmlformats.org/officeDocument/2006/relationships/control" Target="../activeX/activeX318.xml"/><Relationship Id="rId93" Type="http://schemas.openxmlformats.org/officeDocument/2006/relationships/image" Target="../media/image52.emf"/><Relationship Id="rId98" Type="http://schemas.openxmlformats.org/officeDocument/2006/relationships/control" Target="../activeX/activeX331.xml"/><Relationship Id="rId121" Type="http://schemas.openxmlformats.org/officeDocument/2006/relationships/image" Target="../media/image66.emf"/><Relationship Id="rId3" Type="http://schemas.openxmlformats.org/officeDocument/2006/relationships/vmlDrawing" Target="../drawings/vmlDrawing8.vml"/><Relationship Id="rId25" Type="http://schemas.openxmlformats.org/officeDocument/2006/relationships/image" Target="../media/image18.emf"/><Relationship Id="rId46" Type="http://schemas.openxmlformats.org/officeDocument/2006/relationships/control" Target="../activeX/activeX305.xml"/><Relationship Id="rId67" Type="http://schemas.openxmlformats.org/officeDocument/2006/relationships/image" Target="../media/image39.emf"/><Relationship Id="rId116" Type="http://schemas.openxmlformats.org/officeDocument/2006/relationships/control" Target="../activeX/activeX340.xml"/><Relationship Id="rId20" Type="http://schemas.openxmlformats.org/officeDocument/2006/relationships/control" Target="../activeX/activeX292.xml"/><Relationship Id="rId41" Type="http://schemas.openxmlformats.org/officeDocument/2006/relationships/image" Target="../media/image26.emf"/><Relationship Id="rId62" Type="http://schemas.openxmlformats.org/officeDocument/2006/relationships/control" Target="../activeX/activeX313.xml"/><Relationship Id="rId83" Type="http://schemas.openxmlformats.org/officeDocument/2006/relationships/image" Target="../media/image47.emf"/><Relationship Id="rId88" Type="http://schemas.openxmlformats.org/officeDocument/2006/relationships/control" Target="../activeX/activeX326.xml"/><Relationship Id="rId111" Type="http://schemas.openxmlformats.org/officeDocument/2006/relationships/image" Target="../media/image61.emf"/><Relationship Id="rId15" Type="http://schemas.openxmlformats.org/officeDocument/2006/relationships/image" Target="../media/image13.emf"/><Relationship Id="rId36" Type="http://schemas.openxmlformats.org/officeDocument/2006/relationships/control" Target="../activeX/activeX300.xml"/><Relationship Id="rId57" Type="http://schemas.openxmlformats.org/officeDocument/2006/relationships/image" Target="../media/image34.emf"/><Relationship Id="rId106" Type="http://schemas.openxmlformats.org/officeDocument/2006/relationships/control" Target="../activeX/activeX335.xml"/><Relationship Id="rId10" Type="http://schemas.openxmlformats.org/officeDocument/2006/relationships/control" Target="../activeX/activeX287.xml"/><Relationship Id="rId31" Type="http://schemas.openxmlformats.org/officeDocument/2006/relationships/image" Target="../media/image21.emf"/><Relationship Id="rId52" Type="http://schemas.openxmlformats.org/officeDocument/2006/relationships/control" Target="../activeX/activeX308.xml"/><Relationship Id="rId73" Type="http://schemas.openxmlformats.org/officeDocument/2006/relationships/image" Target="../media/image42.emf"/><Relationship Id="rId78" Type="http://schemas.openxmlformats.org/officeDocument/2006/relationships/control" Target="../activeX/activeX321.xml"/><Relationship Id="rId94" Type="http://schemas.openxmlformats.org/officeDocument/2006/relationships/control" Target="../activeX/activeX329.xml"/><Relationship Id="rId99" Type="http://schemas.openxmlformats.org/officeDocument/2006/relationships/image" Target="../media/image55.emf"/><Relationship Id="rId101" Type="http://schemas.openxmlformats.org/officeDocument/2006/relationships/image" Target="../media/image56.emf"/><Relationship Id="rId122" Type="http://schemas.openxmlformats.org/officeDocument/2006/relationships/control" Target="../activeX/activeX343.xml"/></Relationships>
</file>

<file path=xl/worksheets/_rels/sheet9.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J342"/>
  <sheetViews>
    <sheetView tabSelected="1" view="pageBreakPreview" topLeftCell="C13" zoomScale="115" zoomScaleNormal="115" zoomScaleSheetLayoutView="115" workbookViewId="0">
      <selection activeCell="C13" sqref="C13:C15"/>
    </sheetView>
  </sheetViews>
  <sheetFormatPr defaultColWidth="9.1796875" defaultRowHeight="11.5"/>
  <cols>
    <col min="1" max="1" width="9.1796875" style="188"/>
    <col min="2" max="2" width="25.54296875" style="188" customWidth="1"/>
    <col min="3" max="3" width="13.7265625" style="215" customWidth="1"/>
    <col min="4" max="4" width="2.81640625" style="216" customWidth="1"/>
    <col min="5" max="5" width="54.54296875" style="188" customWidth="1"/>
    <col min="6" max="6" width="29.26953125" style="217" customWidth="1"/>
    <col min="7" max="7" width="14.26953125" style="215" customWidth="1"/>
    <col min="8" max="8" width="3.81640625" style="218" customWidth="1"/>
    <col min="9" max="9" width="50.7265625" style="219" customWidth="1"/>
    <col min="10" max="10" width="23.54296875" style="220" customWidth="1"/>
    <col min="11" max="16384" width="9.1796875" style="188"/>
  </cols>
  <sheetData>
    <row r="1" spans="1:10" ht="33" customHeight="1">
      <c r="A1" s="368" t="s">
        <v>1</v>
      </c>
      <c r="B1" s="369"/>
      <c r="C1" s="369"/>
      <c r="D1" s="369"/>
      <c r="E1" s="369"/>
      <c r="F1" s="369"/>
      <c r="G1" s="369"/>
      <c r="H1" s="369"/>
      <c r="I1" s="369"/>
      <c r="J1" s="370"/>
    </row>
    <row r="2" spans="1:10" ht="15" customHeight="1">
      <c r="A2" s="299" t="s">
        <v>2</v>
      </c>
      <c r="B2" s="300"/>
      <c r="C2" s="300"/>
      <c r="D2" s="300"/>
      <c r="E2" s="300"/>
      <c r="F2" s="300"/>
      <c r="G2" s="300"/>
      <c r="H2" s="300"/>
      <c r="I2" s="300"/>
      <c r="J2" s="301"/>
    </row>
    <row r="3" spans="1:10">
      <c r="A3" s="302"/>
      <c r="B3" s="303"/>
      <c r="C3" s="303"/>
      <c r="D3" s="303"/>
      <c r="E3" s="303"/>
      <c r="F3" s="303"/>
      <c r="G3" s="303"/>
      <c r="H3" s="303"/>
      <c r="I3" s="303"/>
      <c r="J3" s="304"/>
    </row>
    <row r="4" spans="1:10" ht="15" customHeight="1">
      <c r="A4" s="293" t="s">
        <v>3</v>
      </c>
      <c r="B4" s="294"/>
      <c r="C4" s="294"/>
      <c r="D4" s="294"/>
      <c r="E4" s="294"/>
      <c r="F4" s="294"/>
      <c r="G4" s="294"/>
      <c r="H4" s="294"/>
      <c r="I4" s="294"/>
      <c r="J4" s="295"/>
    </row>
    <row r="5" spans="1:10" ht="15.75" customHeight="1">
      <c r="A5" s="296"/>
      <c r="B5" s="297"/>
      <c r="C5" s="297"/>
      <c r="D5" s="297"/>
      <c r="E5" s="297"/>
      <c r="F5" s="297"/>
      <c r="G5" s="297"/>
      <c r="H5" s="297"/>
      <c r="I5" s="297"/>
      <c r="J5" s="298"/>
    </row>
    <row r="6" spans="1:10" ht="24" customHeight="1">
      <c r="A6" s="371" t="s">
        <v>4</v>
      </c>
      <c r="B6" s="372"/>
      <c r="C6" s="372"/>
      <c r="D6" s="372"/>
      <c r="E6" s="372"/>
      <c r="F6" s="372"/>
      <c r="G6" s="372"/>
      <c r="H6" s="372"/>
      <c r="I6" s="372"/>
      <c r="J6" s="373"/>
    </row>
    <row r="7" spans="1:10" ht="29.25" customHeight="1">
      <c r="A7" s="374" t="s">
        <v>5</v>
      </c>
      <c r="B7" s="375"/>
      <c r="C7" s="375"/>
      <c r="D7" s="375"/>
      <c r="E7" s="375"/>
      <c r="F7" s="375"/>
      <c r="G7" s="375"/>
      <c r="H7" s="375"/>
      <c r="I7" s="375"/>
      <c r="J7" s="376"/>
    </row>
    <row r="8" spans="1:10" s="281" customFormat="1" ht="30" customHeight="1">
      <c r="A8" s="381"/>
      <c r="B8" s="221" t="s">
        <v>6</v>
      </c>
      <c r="C8" s="222" t="s">
        <v>7</v>
      </c>
      <c r="D8" s="377" t="s">
        <v>8</v>
      </c>
      <c r="E8" s="377"/>
      <c r="F8" s="222" t="s">
        <v>708</v>
      </c>
      <c r="G8" s="222" t="s">
        <v>7</v>
      </c>
      <c r="H8" s="378" t="s">
        <v>9</v>
      </c>
      <c r="I8" s="379"/>
      <c r="J8" s="222" t="s">
        <v>708</v>
      </c>
    </row>
    <row r="9" spans="1:10" ht="38.25" customHeight="1">
      <c r="A9" s="382"/>
      <c r="B9" s="386" t="s">
        <v>10</v>
      </c>
      <c r="C9" s="223" t="s">
        <v>11</v>
      </c>
      <c r="D9" s="224" t="s">
        <v>12</v>
      </c>
      <c r="E9" s="225" t="s">
        <v>13</v>
      </c>
      <c r="F9" s="226"/>
      <c r="G9" s="223" t="s">
        <v>11</v>
      </c>
      <c r="H9" s="227"/>
      <c r="I9" s="247"/>
      <c r="J9" s="248"/>
    </row>
    <row r="10" spans="1:10" ht="40.5" customHeight="1">
      <c r="A10" s="382"/>
      <c r="B10" s="387"/>
      <c r="C10" s="228" t="s">
        <v>14</v>
      </c>
      <c r="D10" s="229" t="s">
        <v>15</v>
      </c>
      <c r="E10" s="230" t="s">
        <v>16</v>
      </c>
      <c r="F10" s="231"/>
      <c r="G10" s="228" t="s">
        <v>14</v>
      </c>
      <c r="H10" s="232"/>
      <c r="I10" s="249"/>
      <c r="J10" s="250"/>
    </row>
    <row r="11" spans="1:10" ht="53.25" customHeight="1">
      <c r="A11" s="382"/>
      <c r="B11" s="387"/>
      <c r="C11" s="323" t="s">
        <v>17</v>
      </c>
      <c r="D11" s="229" t="s">
        <v>15</v>
      </c>
      <c r="E11" s="230" t="s">
        <v>18</v>
      </c>
      <c r="F11" s="231"/>
      <c r="G11" s="323" t="s">
        <v>17</v>
      </c>
      <c r="H11" s="232"/>
      <c r="I11" s="311"/>
      <c r="J11" s="250"/>
    </row>
    <row r="12" spans="1:10" ht="27.75" customHeight="1">
      <c r="A12" s="382"/>
      <c r="B12" s="387"/>
      <c r="C12" s="323"/>
      <c r="D12" s="229" t="s">
        <v>19</v>
      </c>
      <c r="E12" s="230" t="s">
        <v>20</v>
      </c>
      <c r="F12" s="231"/>
      <c r="G12" s="323"/>
      <c r="H12" s="232"/>
      <c r="I12" s="311"/>
      <c r="J12" s="250"/>
    </row>
    <row r="13" spans="1:10" ht="46">
      <c r="A13" s="382"/>
      <c r="B13" s="387"/>
      <c r="C13" s="324" t="s">
        <v>22</v>
      </c>
      <c r="D13" s="229" t="s">
        <v>15</v>
      </c>
      <c r="E13" s="230" t="s">
        <v>21</v>
      </c>
      <c r="F13" s="231"/>
      <c r="G13" s="324" t="s">
        <v>22</v>
      </c>
      <c r="H13" s="232"/>
      <c r="I13" s="311"/>
      <c r="J13" s="250"/>
    </row>
    <row r="14" spans="1:10">
      <c r="A14" s="382"/>
      <c r="B14" s="387"/>
      <c r="C14" s="324"/>
      <c r="D14" s="229" t="s">
        <v>19</v>
      </c>
      <c r="E14" s="230" t="s">
        <v>23</v>
      </c>
      <c r="F14" s="231"/>
      <c r="G14" s="324"/>
      <c r="H14" s="232"/>
      <c r="I14" s="311"/>
      <c r="J14" s="250"/>
    </row>
    <row r="15" spans="1:10" ht="23.5">
      <c r="A15" s="382"/>
      <c r="B15" s="387"/>
      <c r="C15" s="324"/>
      <c r="D15" s="229" t="s">
        <v>24</v>
      </c>
      <c r="E15" s="230" t="s">
        <v>25</v>
      </c>
      <c r="F15" s="231"/>
      <c r="G15" s="324"/>
      <c r="H15" s="232"/>
      <c r="I15" s="311"/>
      <c r="J15" s="250"/>
    </row>
    <row r="16" spans="1:10" ht="46">
      <c r="A16" s="382"/>
      <c r="B16" s="387"/>
      <c r="C16" s="325" t="s">
        <v>26</v>
      </c>
      <c r="D16" s="229" t="s">
        <v>15</v>
      </c>
      <c r="E16" s="230" t="s">
        <v>27</v>
      </c>
      <c r="F16" s="231"/>
      <c r="G16" s="325" t="s">
        <v>26</v>
      </c>
      <c r="H16" s="232"/>
      <c r="I16" s="311"/>
      <c r="J16" s="250"/>
    </row>
    <row r="17" spans="1:10" ht="23">
      <c r="A17" s="382"/>
      <c r="B17" s="387"/>
      <c r="C17" s="325"/>
      <c r="D17" s="229" t="s">
        <v>19</v>
      </c>
      <c r="E17" s="230" t="s">
        <v>28</v>
      </c>
      <c r="F17" s="231"/>
      <c r="G17" s="325"/>
      <c r="H17" s="232"/>
      <c r="I17" s="311"/>
      <c r="J17" s="250"/>
    </row>
    <row r="18" spans="1:10" ht="23.5">
      <c r="A18" s="382"/>
      <c r="B18" s="388"/>
      <c r="C18" s="326"/>
      <c r="D18" s="233" t="s">
        <v>24</v>
      </c>
      <c r="E18" s="234" t="s">
        <v>29</v>
      </c>
      <c r="F18" s="235"/>
      <c r="G18" s="326"/>
      <c r="H18" s="236"/>
      <c r="I18" s="321"/>
      <c r="J18" s="251"/>
    </row>
    <row r="19" spans="1:10" ht="15" customHeight="1">
      <c r="A19" s="382"/>
      <c r="B19" s="287" t="s">
        <v>3</v>
      </c>
      <c r="C19" s="288"/>
      <c r="D19" s="288"/>
      <c r="E19" s="288"/>
      <c r="F19" s="288"/>
      <c r="G19" s="288"/>
      <c r="H19" s="288"/>
      <c r="I19" s="288"/>
      <c r="J19" s="289"/>
    </row>
    <row r="20" spans="1:10" ht="37.5" customHeight="1">
      <c r="A20" s="382"/>
      <c r="B20" s="290"/>
      <c r="C20" s="291"/>
      <c r="D20" s="291"/>
      <c r="E20" s="291"/>
      <c r="F20" s="291"/>
      <c r="G20" s="291"/>
      <c r="H20" s="291"/>
      <c r="I20" s="291"/>
      <c r="J20" s="292"/>
    </row>
    <row r="21" spans="1:10" ht="53.25" customHeight="1">
      <c r="A21" s="382"/>
      <c r="B21" s="389" t="s">
        <v>30</v>
      </c>
      <c r="C21" s="237" t="s">
        <v>11</v>
      </c>
      <c r="D21" s="238" t="s">
        <v>15</v>
      </c>
      <c r="E21" s="239" t="s">
        <v>31</v>
      </c>
      <c r="F21" s="240"/>
      <c r="G21" s="237" t="s">
        <v>11</v>
      </c>
      <c r="H21" s="241"/>
      <c r="I21" s="252"/>
      <c r="J21" s="253"/>
    </row>
    <row r="22" spans="1:10" ht="30.75" customHeight="1">
      <c r="A22" s="382"/>
      <c r="B22" s="387"/>
      <c r="C22" s="329" t="s">
        <v>14</v>
      </c>
      <c r="D22" s="229" t="s">
        <v>15</v>
      </c>
      <c r="E22" s="286" t="s">
        <v>880</v>
      </c>
      <c r="F22" s="231"/>
      <c r="G22" s="329" t="s">
        <v>14</v>
      </c>
      <c r="H22" s="232"/>
      <c r="I22" s="311"/>
      <c r="J22" s="250"/>
    </row>
    <row r="23" spans="1:10" ht="30.75" customHeight="1">
      <c r="A23" s="382"/>
      <c r="B23" s="387"/>
      <c r="C23" s="329"/>
      <c r="D23" s="229" t="s">
        <v>19</v>
      </c>
      <c r="E23" s="230" t="s">
        <v>32</v>
      </c>
      <c r="F23" s="231"/>
      <c r="G23" s="329"/>
      <c r="H23" s="232"/>
      <c r="I23" s="311"/>
      <c r="J23" s="250"/>
    </row>
    <row r="24" spans="1:10" ht="31.5" customHeight="1">
      <c r="A24" s="382"/>
      <c r="B24" s="387"/>
      <c r="C24" s="323" t="s">
        <v>17</v>
      </c>
      <c r="D24" s="229" t="s">
        <v>15</v>
      </c>
      <c r="E24" s="230" t="s">
        <v>33</v>
      </c>
      <c r="F24" s="231"/>
      <c r="G24" s="323" t="s">
        <v>17</v>
      </c>
      <c r="H24" s="232"/>
      <c r="I24" s="311"/>
      <c r="J24" s="250"/>
    </row>
    <row r="25" spans="1:10" ht="12">
      <c r="A25" s="382"/>
      <c r="B25" s="387"/>
      <c r="C25" s="323"/>
      <c r="D25" s="229" t="s">
        <v>19</v>
      </c>
      <c r="E25" s="230" t="s">
        <v>32</v>
      </c>
      <c r="F25" s="231"/>
      <c r="G25" s="323"/>
      <c r="H25" s="232"/>
      <c r="I25" s="311"/>
      <c r="J25" s="250"/>
    </row>
    <row r="26" spans="1:10" ht="12">
      <c r="A26" s="382"/>
      <c r="B26" s="387"/>
      <c r="C26" s="323"/>
      <c r="D26" s="229" t="s">
        <v>24</v>
      </c>
      <c r="E26" s="230" t="s">
        <v>34</v>
      </c>
      <c r="F26" s="231"/>
      <c r="G26" s="323"/>
      <c r="H26" s="232"/>
      <c r="I26" s="311"/>
      <c r="J26" s="250"/>
    </row>
    <row r="27" spans="1:10" ht="30.75" customHeight="1">
      <c r="A27" s="382"/>
      <c r="B27" s="387"/>
      <c r="C27" s="324" t="s">
        <v>22</v>
      </c>
      <c r="D27" s="229" t="s">
        <v>15</v>
      </c>
      <c r="E27" s="286" t="s">
        <v>881</v>
      </c>
      <c r="F27" s="231"/>
      <c r="G27" s="324" t="s">
        <v>22</v>
      </c>
      <c r="H27" s="232"/>
      <c r="I27" s="311"/>
      <c r="J27" s="250"/>
    </row>
    <row r="28" spans="1:10" ht="22.5" customHeight="1">
      <c r="A28" s="382"/>
      <c r="B28" s="387"/>
      <c r="C28" s="324"/>
      <c r="D28" s="229" t="s">
        <v>19</v>
      </c>
      <c r="E28" s="230" t="s">
        <v>32</v>
      </c>
      <c r="F28" s="231"/>
      <c r="G28" s="324"/>
      <c r="H28" s="232"/>
      <c r="I28" s="311"/>
      <c r="J28" s="250"/>
    </row>
    <row r="29" spans="1:10" ht="14.25" customHeight="1">
      <c r="A29" s="382"/>
      <c r="B29" s="387"/>
      <c r="C29" s="324"/>
      <c r="D29" s="229" t="s">
        <v>24</v>
      </c>
      <c r="E29" s="230" t="s">
        <v>35</v>
      </c>
      <c r="F29" s="231"/>
      <c r="G29" s="324"/>
      <c r="H29" s="232"/>
      <c r="I29" s="311"/>
      <c r="J29" s="250"/>
    </row>
    <row r="30" spans="1:10">
      <c r="A30" s="382"/>
      <c r="B30" s="387"/>
      <c r="C30" s="325" t="s">
        <v>26</v>
      </c>
      <c r="D30" s="229" t="s">
        <v>15</v>
      </c>
      <c r="E30" s="286" t="s">
        <v>881</v>
      </c>
      <c r="F30" s="231"/>
      <c r="G30" s="325" t="s">
        <v>26</v>
      </c>
      <c r="H30" s="232"/>
      <c r="I30" s="311"/>
      <c r="J30" s="250"/>
    </row>
    <row r="31" spans="1:10" ht="12">
      <c r="A31" s="382"/>
      <c r="B31" s="387"/>
      <c r="C31" s="325"/>
      <c r="D31" s="229" t="s">
        <v>19</v>
      </c>
      <c r="E31" s="230" t="s">
        <v>32</v>
      </c>
      <c r="F31" s="231"/>
      <c r="G31" s="325"/>
      <c r="H31" s="232"/>
      <c r="I31" s="311"/>
      <c r="J31" s="250"/>
    </row>
    <row r="32" spans="1:10" ht="12">
      <c r="A32" s="382"/>
      <c r="B32" s="387"/>
      <c r="C32" s="325"/>
      <c r="D32" s="229" t="s">
        <v>24</v>
      </c>
      <c r="E32" s="230" t="s">
        <v>34</v>
      </c>
      <c r="F32" s="231"/>
      <c r="G32" s="325"/>
      <c r="H32" s="232"/>
      <c r="I32" s="311"/>
      <c r="J32" s="250"/>
    </row>
    <row r="33" spans="1:10" ht="12">
      <c r="A33" s="382"/>
      <c r="B33" s="388"/>
      <c r="C33" s="326"/>
      <c r="D33" s="233" t="s">
        <v>36</v>
      </c>
      <c r="E33" s="234" t="s">
        <v>37</v>
      </c>
      <c r="F33" s="235"/>
      <c r="G33" s="326"/>
      <c r="H33" s="236"/>
      <c r="I33" s="321"/>
      <c r="J33" s="251"/>
    </row>
    <row r="34" spans="1:10" ht="15" customHeight="1">
      <c r="A34" s="382"/>
      <c r="B34" s="287" t="s">
        <v>3</v>
      </c>
      <c r="C34" s="288"/>
      <c r="D34" s="288"/>
      <c r="E34" s="288"/>
      <c r="F34" s="288"/>
      <c r="G34" s="288"/>
      <c r="H34" s="288"/>
      <c r="I34" s="288"/>
      <c r="J34" s="289"/>
    </row>
    <row r="35" spans="1:10" ht="15.75" customHeight="1">
      <c r="A35" s="382"/>
      <c r="B35" s="290"/>
      <c r="C35" s="291"/>
      <c r="D35" s="291"/>
      <c r="E35" s="291"/>
      <c r="F35" s="291"/>
      <c r="G35" s="291"/>
      <c r="H35" s="291"/>
      <c r="I35" s="291"/>
      <c r="J35" s="292"/>
    </row>
    <row r="36" spans="1:10" ht="41.25" customHeight="1">
      <c r="A36" s="382"/>
      <c r="B36" s="389" t="s">
        <v>38</v>
      </c>
      <c r="C36" s="343" t="s">
        <v>11</v>
      </c>
      <c r="D36" s="238" t="s">
        <v>15</v>
      </c>
      <c r="E36" s="239" t="s">
        <v>39</v>
      </c>
      <c r="F36" s="240"/>
      <c r="G36" s="343" t="s">
        <v>11</v>
      </c>
      <c r="H36" s="330"/>
      <c r="I36" s="322"/>
      <c r="J36" s="253"/>
    </row>
    <row r="37" spans="1:10" ht="21.75" customHeight="1">
      <c r="A37" s="382"/>
      <c r="B37" s="387"/>
      <c r="C37" s="328"/>
      <c r="D37" s="229" t="s">
        <v>19</v>
      </c>
      <c r="E37" s="230" t="s">
        <v>40</v>
      </c>
      <c r="F37" s="231"/>
      <c r="G37" s="328"/>
      <c r="H37" s="331"/>
      <c r="I37" s="311"/>
      <c r="J37" s="250"/>
    </row>
    <row r="38" spans="1:10" ht="30.75" customHeight="1">
      <c r="A38" s="382"/>
      <c r="B38" s="387"/>
      <c r="C38" s="329" t="s">
        <v>14</v>
      </c>
      <c r="D38" s="229" t="s">
        <v>15</v>
      </c>
      <c r="E38" s="230" t="s">
        <v>41</v>
      </c>
      <c r="F38" s="231"/>
      <c r="G38" s="329" t="s">
        <v>14</v>
      </c>
      <c r="H38" s="332"/>
      <c r="I38" s="311"/>
      <c r="J38" s="250"/>
    </row>
    <row r="39" spans="1:10">
      <c r="A39" s="382"/>
      <c r="B39" s="387"/>
      <c r="C39" s="329"/>
      <c r="D39" s="229" t="s">
        <v>19</v>
      </c>
      <c r="E39" s="230" t="s">
        <v>42</v>
      </c>
      <c r="F39" s="231"/>
      <c r="G39" s="329"/>
      <c r="H39" s="331"/>
      <c r="I39" s="311"/>
      <c r="J39" s="250"/>
    </row>
    <row r="40" spans="1:10" ht="34.5" customHeight="1">
      <c r="A40" s="382"/>
      <c r="B40" s="387"/>
      <c r="C40" s="323" t="s">
        <v>17</v>
      </c>
      <c r="D40" s="229" t="s">
        <v>15</v>
      </c>
      <c r="E40" s="230" t="s">
        <v>43</v>
      </c>
      <c r="F40" s="231"/>
      <c r="G40" s="323" t="s">
        <v>17</v>
      </c>
      <c r="H40" s="332"/>
      <c r="I40" s="311"/>
      <c r="J40" s="250"/>
    </row>
    <row r="41" spans="1:10">
      <c r="A41" s="382"/>
      <c r="B41" s="387"/>
      <c r="C41" s="323"/>
      <c r="D41" s="229" t="s">
        <v>19</v>
      </c>
      <c r="E41" s="230" t="s">
        <v>44</v>
      </c>
      <c r="F41" s="231"/>
      <c r="G41" s="323"/>
      <c r="H41" s="333"/>
      <c r="I41" s="311"/>
      <c r="J41" s="250"/>
    </row>
    <row r="42" spans="1:10" ht="23">
      <c r="A42" s="382"/>
      <c r="B42" s="387"/>
      <c r="C42" s="323"/>
      <c r="D42" s="229" t="s">
        <v>24</v>
      </c>
      <c r="E42" s="230" t="s">
        <v>45</v>
      </c>
      <c r="F42" s="231"/>
      <c r="G42" s="323"/>
      <c r="H42" s="331"/>
      <c r="I42" s="311"/>
      <c r="J42" s="250"/>
    </row>
    <row r="43" spans="1:10" ht="23">
      <c r="A43" s="382"/>
      <c r="B43" s="387"/>
      <c r="C43" s="324" t="s">
        <v>22</v>
      </c>
      <c r="D43" s="229" t="s">
        <v>15</v>
      </c>
      <c r="E43" s="230" t="s">
        <v>46</v>
      </c>
      <c r="F43" s="231"/>
      <c r="G43" s="324" t="s">
        <v>22</v>
      </c>
      <c r="H43" s="332"/>
      <c r="I43" s="311"/>
      <c r="J43" s="250"/>
    </row>
    <row r="44" spans="1:10" ht="29.25" customHeight="1">
      <c r="A44" s="382"/>
      <c r="B44" s="387"/>
      <c r="C44" s="324"/>
      <c r="D44" s="229" t="s">
        <v>19</v>
      </c>
      <c r="E44" s="230" t="s">
        <v>47</v>
      </c>
      <c r="F44" s="231"/>
      <c r="G44" s="324"/>
      <c r="H44" s="333"/>
      <c r="I44" s="311"/>
      <c r="J44" s="250"/>
    </row>
    <row r="45" spans="1:10" ht="21" customHeight="1">
      <c r="A45" s="382"/>
      <c r="B45" s="387"/>
      <c r="C45" s="324"/>
      <c r="D45" s="229" t="s">
        <v>24</v>
      </c>
      <c r="E45" s="230" t="s">
        <v>48</v>
      </c>
      <c r="F45" s="231"/>
      <c r="G45" s="324"/>
      <c r="H45" s="331"/>
      <c r="I45" s="311"/>
      <c r="J45" s="250"/>
    </row>
    <row r="46" spans="1:10" ht="23">
      <c r="A46" s="382"/>
      <c r="B46" s="387"/>
      <c r="C46" s="325" t="s">
        <v>26</v>
      </c>
      <c r="D46" s="229" t="s">
        <v>15</v>
      </c>
      <c r="E46" s="230" t="s">
        <v>46</v>
      </c>
      <c r="F46" s="231"/>
      <c r="G46" s="325" t="s">
        <v>26</v>
      </c>
      <c r="H46" s="332"/>
      <c r="I46" s="311"/>
      <c r="J46" s="250"/>
    </row>
    <row r="47" spans="1:10" ht="15" customHeight="1">
      <c r="A47" s="382"/>
      <c r="B47" s="387"/>
      <c r="C47" s="325"/>
      <c r="D47" s="229" t="s">
        <v>19</v>
      </c>
      <c r="E47" s="230" t="s">
        <v>49</v>
      </c>
      <c r="F47" s="231"/>
      <c r="G47" s="325"/>
      <c r="H47" s="333"/>
      <c r="I47" s="311"/>
      <c r="J47" s="250"/>
    </row>
    <row r="48" spans="1:10" ht="15.75" customHeight="1">
      <c r="A48" s="382"/>
      <c r="B48" s="390"/>
      <c r="C48" s="344"/>
      <c r="D48" s="242" t="s">
        <v>24</v>
      </c>
      <c r="E48" s="243" t="s">
        <v>48</v>
      </c>
      <c r="F48" s="244"/>
      <c r="G48" s="344"/>
      <c r="H48" s="334"/>
      <c r="I48" s="312"/>
      <c r="J48" s="254"/>
    </row>
    <row r="49" spans="1:10" ht="15" customHeight="1">
      <c r="A49" s="382"/>
      <c r="B49" s="287" t="s">
        <v>3</v>
      </c>
      <c r="C49" s="288"/>
      <c r="D49" s="288"/>
      <c r="E49" s="288"/>
      <c r="F49" s="288"/>
      <c r="G49" s="288"/>
      <c r="H49" s="288"/>
      <c r="I49" s="288"/>
      <c r="J49" s="289"/>
    </row>
    <row r="50" spans="1:10" ht="15.75" customHeight="1">
      <c r="A50" s="383"/>
      <c r="B50" s="290"/>
      <c r="C50" s="291"/>
      <c r="D50" s="291"/>
      <c r="E50" s="291"/>
      <c r="F50" s="291"/>
      <c r="G50" s="291"/>
      <c r="H50" s="291"/>
      <c r="I50" s="291"/>
      <c r="J50" s="292"/>
    </row>
    <row r="51" spans="1:10" ht="35.25" customHeight="1">
      <c r="A51" s="287" t="s">
        <v>3</v>
      </c>
      <c r="B51" s="288"/>
      <c r="C51" s="288"/>
      <c r="D51" s="288"/>
      <c r="E51" s="288"/>
      <c r="F51" s="288"/>
      <c r="G51" s="288"/>
      <c r="H51" s="288"/>
      <c r="I51" s="288"/>
      <c r="J51" s="289"/>
    </row>
    <row r="52" spans="1:10" ht="15" customHeight="1">
      <c r="A52" s="290"/>
      <c r="B52" s="291"/>
      <c r="C52" s="291"/>
      <c r="D52" s="291"/>
      <c r="E52" s="291"/>
      <c r="F52" s="291"/>
      <c r="G52" s="291"/>
      <c r="H52" s="291"/>
      <c r="I52" s="291"/>
      <c r="J52" s="292"/>
    </row>
    <row r="53" spans="1:10" ht="12.75" customHeight="1">
      <c r="A53" s="305" t="s">
        <v>50</v>
      </c>
      <c r="B53" s="306"/>
      <c r="C53" s="306"/>
      <c r="D53" s="306"/>
      <c r="E53" s="306"/>
      <c r="F53" s="306"/>
      <c r="G53" s="306"/>
      <c r="H53" s="306"/>
      <c r="I53" s="306"/>
      <c r="J53" s="307"/>
    </row>
    <row r="54" spans="1:10" ht="15" customHeight="1">
      <c r="A54" s="308"/>
      <c r="B54" s="309"/>
      <c r="C54" s="309"/>
      <c r="D54" s="309"/>
      <c r="E54" s="309"/>
      <c r="F54" s="309"/>
      <c r="G54" s="309"/>
      <c r="H54" s="309"/>
      <c r="I54" s="309"/>
      <c r="J54" s="310"/>
    </row>
    <row r="55" spans="1:10" s="281" customFormat="1" ht="33.75" customHeight="1">
      <c r="A55" s="381"/>
      <c r="B55" s="245" t="s">
        <v>6</v>
      </c>
      <c r="C55" s="222" t="s">
        <v>7</v>
      </c>
      <c r="D55" s="377" t="s">
        <v>8</v>
      </c>
      <c r="E55" s="377"/>
      <c r="F55" s="222" t="s">
        <v>708</v>
      </c>
      <c r="G55" s="222" t="s">
        <v>7</v>
      </c>
      <c r="H55" s="246"/>
      <c r="I55" s="222" t="s">
        <v>9</v>
      </c>
      <c r="J55" s="222" t="s">
        <v>708</v>
      </c>
    </row>
    <row r="56" spans="1:10" ht="15" customHeight="1">
      <c r="A56" s="382"/>
      <c r="B56" s="391" t="s">
        <v>52</v>
      </c>
      <c r="C56" s="327" t="s">
        <v>11</v>
      </c>
      <c r="D56" s="224" t="s">
        <v>15</v>
      </c>
      <c r="E56" s="225" t="s">
        <v>53</v>
      </c>
      <c r="F56" s="226"/>
      <c r="G56" s="327" t="s">
        <v>11</v>
      </c>
      <c r="H56" s="227" t="s">
        <v>15</v>
      </c>
      <c r="I56" s="255" t="s">
        <v>54</v>
      </c>
      <c r="J56" s="256"/>
    </row>
    <row r="57" spans="1:10">
      <c r="A57" s="382"/>
      <c r="B57" s="392"/>
      <c r="C57" s="328"/>
      <c r="D57" s="229" t="s">
        <v>19</v>
      </c>
      <c r="E57" s="230" t="s">
        <v>55</v>
      </c>
      <c r="F57" s="231"/>
      <c r="G57" s="328"/>
      <c r="H57" s="232" t="s">
        <v>19</v>
      </c>
      <c r="I57" s="257" t="s">
        <v>56</v>
      </c>
      <c r="J57" s="258"/>
    </row>
    <row r="58" spans="1:10" ht="12">
      <c r="A58" s="382"/>
      <c r="B58" s="392"/>
      <c r="C58" s="328"/>
      <c r="D58" s="229" t="s">
        <v>24</v>
      </c>
      <c r="E58" s="230" t="s">
        <v>57</v>
      </c>
      <c r="F58" s="231"/>
      <c r="G58" s="328"/>
      <c r="H58" s="232" t="s">
        <v>24</v>
      </c>
      <c r="I58" s="257" t="s">
        <v>58</v>
      </c>
      <c r="J58" s="258"/>
    </row>
    <row r="59" spans="1:10" ht="12">
      <c r="A59" s="382"/>
      <c r="B59" s="392"/>
      <c r="C59" s="328"/>
      <c r="D59" s="229" t="s">
        <v>36</v>
      </c>
      <c r="E59" s="230" t="s">
        <v>59</v>
      </c>
      <c r="F59" s="231"/>
      <c r="G59" s="328"/>
      <c r="H59" s="232" t="s">
        <v>36</v>
      </c>
      <c r="I59" s="257" t="s">
        <v>60</v>
      </c>
      <c r="J59" s="258"/>
    </row>
    <row r="60" spans="1:10" ht="23">
      <c r="A60" s="382"/>
      <c r="B60" s="392"/>
      <c r="C60" s="328"/>
      <c r="D60" s="229" t="s">
        <v>61</v>
      </c>
      <c r="E60" s="230" t="s">
        <v>62</v>
      </c>
      <c r="F60" s="231"/>
      <c r="G60" s="328"/>
      <c r="H60" s="232" t="s">
        <v>61</v>
      </c>
      <c r="I60" s="257" t="s">
        <v>63</v>
      </c>
      <c r="J60" s="258"/>
    </row>
    <row r="61" spans="1:10" ht="23.5">
      <c r="A61" s="382"/>
      <c r="B61" s="392"/>
      <c r="C61" s="329" t="s">
        <v>14</v>
      </c>
      <c r="D61" s="229" t="s">
        <v>15</v>
      </c>
      <c r="E61" s="230" t="s">
        <v>64</v>
      </c>
      <c r="F61" s="231"/>
      <c r="G61" s="329" t="s">
        <v>14</v>
      </c>
      <c r="H61" s="232" t="s">
        <v>15</v>
      </c>
      <c r="I61" s="257" t="s">
        <v>54</v>
      </c>
      <c r="J61" s="258"/>
    </row>
    <row r="62" spans="1:10" ht="12">
      <c r="A62" s="382"/>
      <c r="B62" s="392"/>
      <c r="C62" s="329"/>
      <c r="D62" s="229" t="s">
        <v>19</v>
      </c>
      <c r="E62" s="230" t="s">
        <v>65</v>
      </c>
      <c r="F62" s="231"/>
      <c r="G62" s="329"/>
      <c r="H62" s="232" t="s">
        <v>19</v>
      </c>
      <c r="I62" s="257" t="s">
        <v>56</v>
      </c>
      <c r="J62" s="258"/>
    </row>
    <row r="63" spans="1:10" ht="12">
      <c r="A63" s="382"/>
      <c r="B63" s="392"/>
      <c r="C63" s="329"/>
      <c r="D63" s="229" t="s">
        <v>24</v>
      </c>
      <c r="E63" s="230" t="s">
        <v>66</v>
      </c>
      <c r="F63" s="231"/>
      <c r="G63" s="329"/>
      <c r="H63" s="232" t="s">
        <v>24</v>
      </c>
      <c r="I63" s="257" t="s">
        <v>67</v>
      </c>
      <c r="J63" s="258"/>
    </row>
    <row r="64" spans="1:10" ht="12">
      <c r="A64" s="382"/>
      <c r="B64" s="392"/>
      <c r="C64" s="329"/>
      <c r="D64" s="229" t="s">
        <v>36</v>
      </c>
      <c r="E64" s="230" t="s">
        <v>68</v>
      </c>
      <c r="F64" s="231"/>
      <c r="G64" s="329"/>
      <c r="H64" s="232" t="s">
        <v>36</v>
      </c>
      <c r="I64" s="257" t="s">
        <v>60</v>
      </c>
      <c r="J64" s="258"/>
    </row>
    <row r="65" spans="1:10" ht="23">
      <c r="A65" s="382"/>
      <c r="B65" s="392"/>
      <c r="C65" s="329"/>
      <c r="D65" s="229" t="s">
        <v>61</v>
      </c>
      <c r="E65" s="230" t="s">
        <v>69</v>
      </c>
      <c r="F65" s="231"/>
      <c r="G65" s="329"/>
      <c r="H65" s="232" t="s">
        <v>61</v>
      </c>
      <c r="I65" s="257" t="s">
        <v>70</v>
      </c>
      <c r="J65" s="258"/>
    </row>
    <row r="66" spans="1:10" ht="12">
      <c r="A66" s="382"/>
      <c r="B66" s="392"/>
      <c r="C66" s="323" t="s">
        <v>17</v>
      </c>
      <c r="D66" s="229" t="s">
        <v>15</v>
      </c>
      <c r="E66" s="230" t="s">
        <v>71</v>
      </c>
      <c r="F66" s="231"/>
      <c r="G66" s="323" t="s">
        <v>17</v>
      </c>
      <c r="H66" s="232" t="s">
        <v>15</v>
      </c>
      <c r="I66" s="257" t="s">
        <v>72</v>
      </c>
      <c r="J66" s="258"/>
    </row>
    <row r="67" spans="1:10" ht="12">
      <c r="A67" s="382"/>
      <c r="B67" s="392"/>
      <c r="C67" s="323"/>
      <c r="D67" s="229" t="s">
        <v>19</v>
      </c>
      <c r="E67" s="230" t="s">
        <v>73</v>
      </c>
      <c r="F67" s="231"/>
      <c r="G67" s="323"/>
      <c r="H67" s="232" t="s">
        <v>19</v>
      </c>
      <c r="I67" s="257" t="s">
        <v>74</v>
      </c>
      <c r="J67" s="258"/>
    </row>
    <row r="68" spans="1:10" ht="23.5">
      <c r="A68" s="382"/>
      <c r="B68" s="392"/>
      <c r="C68" s="323"/>
      <c r="D68" s="229" t="s">
        <v>24</v>
      </c>
      <c r="E68" s="230" t="s">
        <v>75</v>
      </c>
      <c r="F68" s="231"/>
      <c r="G68" s="323"/>
      <c r="H68" s="232" t="s">
        <v>24</v>
      </c>
      <c r="I68" s="257" t="s">
        <v>76</v>
      </c>
      <c r="J68" s="258"/>
    </row>
    <row r="69" spans="1:10" ht="12">
      <c r="A69" s="382"/>
      <c r="B69" s="392"/>
      <c r="C69" s="323"/>
      <c r="D69" s="229" t="s">
        <v>36</v>
      </c>
      <c r="E69" s="230" t="s">
        <v>77</v>
      </c>
      <c r="F69" s="231"/>
      <c r="G69" s="323"/>
      <c r="H69" s="232" t="s">
        <v>36</v>
      </c>
      <c r="I69" s="257" t="s">
        <v>78</v>
      </c>
      <c r="J69" s="258"/>
    </row>
    <row r="70" spans="1:10" ht="25.5" customHeight="1">
      <c r="A70" s="382"/>
      <c r="B70" s="392"/>
      <c r="C70" s="323"/>
      <c r="D70" s="361" t="s">
        <v>61</v>
      </c>
      <c r="E70" s="355" t="s">
        <v>79</v>
      </c>
      <c r="F70" s="338"/>
      <c r="G70" s="323"/>
      <c r="H70" s="232" t="s">
        <v>61</v>
      </c>
      <c r="I70" s="257" t="s">
        <v>60</v>
      </c>
      <c r="J70" s="258"/>
    </row>
    <row r="71" spans="1:10" ht="15.75" customHeight="1">
      <c r="A71" s="382"/>
      <c r="B71" s="392"/>
      <c r="C71" s="323"/>
      <c r="D71" s="361"/>
      <c r="E71" s="355"/>
      <c r="F71" s="340"/>
      <c r="G71" s="323"/>
      <c r="H71" s="232" t="s">
        <v>80</v>
      </c>
      <c r="I71" s="257" t="s">
        <v>81</v>
      </c>
      <c r="J71" s="258"/>
    </row>
    <row r="72" spans="1:10" ht="12">
      <c r="A72" s="382"/>
      <c r="B72" s="392"/>
      <c r="C72" s="324" t="s">
        <v>22</v>
      </c>
      <c r="D72" s="229" t="s">
        <v>15</v>
      </c>
      <c r="E72" s="257" t="s">
        <v>82</v>
      </c>
      <c r="F72" s="231"/>
      <c r="G72" s="324" t="s">
        <v>22</v>
      </c>
      <c r="H72" s="232" t="s">
        <v>15</v>
      </c>
      <c r="I72" s="257" t="s">
        <v>72</v>
      </c>
      <c r="J72" s="258"/>
    </row>
    <row r="73" spans="1:10" ht="23">
      <c r="A73" s="382"/>
      <c r="B73" s="392"/>
      <c r="C73" s="324"/>
      <c r="D73" s="229" t="s">
        <v>19</v>
      </c>
      <c r="E73" s="257" t="s">
        <v>83</v>
      </c>
      <c r="F73" s="231"/>
      <c r="G73" s="324"/>
      <c r="H73" s="232" t="s">
        <v>19</v>
      </c>
      <c r="I73" s="257" t="s">
        <v>84</v>
      </c>
      <c r="J73" s="258"/>
    </row>
    <row r="74" spans="1:10" ht="23.5">
      <c r="A74" s="382"/>
      <c r="B74" s="392"/>
      <c r="C74" s="324"/>
      <c r="D74" s="229" t="s">
        <v>24</v>
      </c>
      <c r="E74" s="257" t="s">
        <v>85</v>
      </c>
      <c r="F74" s="231"/>
      <c r="G74" s="324"/>
      <c r="H74" s="232" t="s">
        <v>24</v>
      </c>
      <c r="I74" s="257" t="s">
        <v>86</v>
      </c>
      <c r="J74" s="258"/>
    </row>
    <row r="75" spans="1:10" ht="12">
      <c r="A75" s="382"/>
      <c r="B75" s="392"/>
      <c r="C75" s="324"/>
      <c r="D75" s="229" t="s">
        <v>36</v>
      </c>
      <c r="E75" s="257" t="s">
        <v>77</v>
      </c>
      <c r="F75" s="231"/>
      <c r="G75" s="324"/>
      <c r="H75" s="232" t="s">
        <v>36</v>
      </c>
      <c r="I75" s="257" t="s">
        <v>70</v>
      </c>
      <c r="J75" s="258"/>
    </row>
    <row r="76" spans="1:10" ht="23">
      <c r="A76" s="382"/>
      <c r="B76" s="392"/>
      <c r="C76" s="324"/>
      <c r="D76" s="229" t="s">
        <v>61</v>
      </c>
      <c r="E76" s="257" t="s">
        <v>87</v>
      </c>
      <c r="F76" s="231"/>
      <c r="G76" s="324"/>
      <c r="H76" s="232"/>
      <c r="I76" s="260"/>
      <c r="J76" s="258"/>
    </row>
    <row r="77" spans="1:10" ht="12">
      <c r="A77" s="382"/>
      <c r="B77" s="392"/>
      <c r="C77" s="325" t="s">
        <v>26</v>
      </c>
      <c r="D77" s="229" t="s">
        <v>15</v>
      </c>
      <c r="E77" s="257" t="s">
        <v>88</v>
      </c>
      <c r="F77" s="231"/>
      <c r="G77" s="325" t="s">
        <v>26</v>
      </c>
      <c r="H77" s="232" t="s">
        <v>15</v>
      </c>
      <c r="I77" s="257" t="s">
        <v>89</v>
      </c>
      <c r="J77" s="258"/>
    </row>
    <row r="78" spans="1:10" ht="12">
      <c r="A78" s="382"/>
      <c r="B78" s="392"/>
      <c r="C78" s="325"/>
      <c r="D78" s="229" t="s">
        <v>19</v>
      </c>
      <c r="E78" s="257" t="s">
        <v>90</v>
      </c>
      <c r="F78" s="231"/>
      <c r="G78" s="325"/>
      <c r="H78" s="232" t="s">
        <v>19</v>
      </c>
      <c r="I78" s="257" t="s">
        <v>91</v>
      </c>
      <c r="J78" s="258"/>
    </row>
    <row r="79" spans="1:10" ht="23.5">
      <c r="A79" s="382"/>
      <c r="B79" s="392"/>
      <c r="C79" s="325"/>
      <c r="D79" s="229" t="s">
        <v>24</v>
      </c>
      <c r="E79" s="257" t="s">
        <v>92</v>
      </c>
      <c r="F79" s="231"/>
      <c r="G79" s="325"/>
      <c r="H79" s="232" t="s">
        <v>24</v>
      </c>
      <c r="I79" s="257" t="s">
        <v>86</v>
      </c>
      <c r="J79" s="258"/>
    </row>
    <row r="80" spans="1:10" ht="15" customHeight="1">
      <c r="A80" s="382"/>
      <c r="B80" s="392"/>
      <c r="C80" s="325"/>
      <c r="D80" s="229" t="s">
        <v>36</v>
      </c>
      <c r="E80" s="257" t="s">
        <v>77</v>
      </c>
      <c r="F80" s="231"/>
      <c r="G80" s="325"/>
      <c r="H80" s="232" t="s">
        <v>36</v>
      </c>
      <c r="I80" s="257" t="s">
        <v>70</v>
      </c>
      <c r="J80" s="258"/>
    </row>
    <row r="81" spans="1:10" ht="23">
      <c r="A81" s="382"/>
      <c r="B81" s="393"/>
      <c r="C81" s="326"/>
      <c r="D81" s="233" t="s">
        <v>61</v>
      </c>
      <c r="E81" s="259" t="s">
        <v>93</v>
      </c>
      <c r="F81" s="235"/>
      <c r="G81" s="326"/>
      <c r="H81" s="236"/>
      <c r="I81" s="261"/>
      <c r="J81" s="262"/>
    </row>
    <row r="82" spans="1:10" ht="24" customHeight="1">
      <c r="A82" s="382"/>
      <c r="B82" s="288" t="s">
        <v>3</v>
      </c>
      <c r="C82" s="288"/>
      <c r="D82" s="288"/>
      <c r="E82" s="288"/>
      <c r="F82" s="288"/>
      <c r="G82" s="288"/>
      <c r="H82" s="288"/>
      <c r="I82" s="288"/>
      <c r="J82" s="289"/>
    </row>
    <row r="83" spans="1:10">
      <c r="A83" s="382"/>
      <c r="B83" s="291"/>
      <c r="C83" s="291"/>
      <c r="D83" s="291"/>
      <c r="E83" s="291"/>
      <c r="F83" s="291"/>
      <c r="G83" s="291"/>
      <c r="H83" s="291"/>
      <c r="I83" s="291"/>
      <c r="J83" s="292"/>
    </row>
    <row r="84" spans="1:10" ht="33" customHeight="1">
      <c r="A84" s="382"/>
      <c r="B84" s="391" t="s">
        <v>94</v>
      </c>
      <c r="C84" s="327" t="s">
        <v>11</v>
      </c>
      <c r="D84" s="224" t="s">
        <v>15</v>
      </c>
      <c r="E84" s="255" t="s">
        <v>95</v>
      </c>
      <c r="F84" s="226"/>
      <c r="G84" s="327" t="s">
        <v>11</v>
      </c>
      <c r="H84" s="227" t="s">
        <v>15</v>
      </c>
      <c r="I84" s="255" t="s">
        <v>96</v>
      </c>
      <c r="J84" s="256"/>
    </row>
    <row r="85" spans="1:10" ht="25.5" customHeight="1">
      <c r="A85" s="382"/>
      <c r="B85" s="392"/>
      <c r="C85" s="328"/>
      <c r="D85" s="332" t="s">
        <v>19</v>
      </c>
      <c r="E85" s="313" t="s">
        <v>97</v>
      </c>
      <c r="F85" s="338"/>
      <c r="G85" s="328"/>
      <c r="H85" s="232" t="s">
        <v>19</v>
      </c>
      <c r="I85" s="257" t="s">
        <v>98</v>
      </c>
      <c r="J85" s="258"/>
    </row>
    <row r="86" spans="1:10">
      <c r="A86" s="382"/>
      <c r="B86" s="392"/>
      <c r="C86" s="328"/>
      <c r="D86" s="331"/>
      <c r="E86" s="314"/>
      <c r="F86" s="340"/>
      <c r="G86" s="328"/>
      <c r="H86" s="232" t="s">
        <v>24</v>
      </c>
      <c r="I86" s="257" t="s">
        <v>99</v>
      </c>
      <c r="J86" s="258"/>
    </row>
    <row r="87" spans="1:10" ht="33" customHeight="1">
      <c r="A87" s="382"/>
      <c r="B87" s="392"/>
      <c r="C87" s="329" t="s">
        <v>14</v>
      </c>
      <c r="D87" s="229" t="s">
        <v>15</v>
      </c>
      <c r="E87" s="230" t="s">
        <v>100</v>
      </c>
      <c r="F87" s="231"/>
      <c r="G87" s="329" t="s">
        <v>14</v>
      </c>
      <c r="H87" s="232" t="s">
        <v>15</v>
      </c>
      <c r="I87" s="257" t="s">
        <v>96</v>
      </c>
      <c r="J87" s="258"/>
    </row>
    <row r="88" spans="1:10" ht="12">
      <c r="A88" s="382"/>
      <c r="B88" s="392"/>
      <c r="C88" s="329"/>
      <c r="D88" s="332" t="s">
        <v>19</v>
      </c>
      <c r="E88" s="313" t="s">
        <v>97</v>
      </c>
      <c r="F88" s="338"/>
      <c r="G88" s="329"/>
      <c r="H88" s="232" t="s">
        <v>19</v>
      </c>
      <c r="I88" s="257" t="s">
        <v>98</v>
      </c>
      <c r="J88" s="258"/>
    </row>
    <row r="89" spans="1:10">
      <c r="A89" s="382"/>
      <c r="B89" s="392"/>
      <c r="C89" s="329"/>
      <c r="D89" s="331"/>
      <c r="E89" s="314"/>
      <c r="F89" s="340"/>
      <c r="G89" s="329"/>
      <c r="H89" s="232" t="s">
        <v>24</v>
      </c>
      <c r="I89" s="257" t="s">
        <v>101</v>
      </c>
      <c r="J89" s="258"/>
    </row>
    <row r="90" spans="1:10" ht="33.75" customHeight="1">
      <c r="A90" s="382"/>
      <c r="B90" s="392"/>
      <c r="C90" s="323" t="s">
        <v>17</v>
      </c>
      <c r="D90" s="229" t="s">
        <v>15</v>
      </c>
      <c r="E90" s="257" t="s">
        <v>100</v>
      </c>
      <c r="F90" s="231"/>
      <c r="G90" s="323" t="s">
        <v>17</v>
      </c>
      <c r="H90" s="232" t="s">
        <v>15</v>
      </c>
      <c r="I90" s="257" t="s">
        <v>96</v>
      </c>
      <c r="J90" s="258"/>
    </row>
    <row r="91" spans="1:10" ht="25.5" customHeight="1">
      <c r="A91" s="382"/>
      <c r="B91" s="392"/>
      <c r="C91" s="323"/>
      <c r="D91" s="332" t="s">
        <v>19</v>
      </c>
      <c r="E91" s="313" t="s">
        <v>102</v>
      </c>
      <c r="F91" s="338"/>
      <c r="G91" s="323"/>
      <c r="H91" s="232" t="s">
        <v>19</v>
      </c>
      <c r="I91" s="257" t="s">
        <v>98</v>
      </c>
      <c r="J91" s="258"/>
    </row>
    <row r="92" spans="1:10">
      <c r="A92" s="382"/>
      <c r="B92" s="392"/>
      <c r="C92" s="323"/>
      <c r="D92" s="331"/>
      <c r="E92" s="314"/>
      <c r="F92" s="340"/>
      <c r="G92" s="323"/>
      <c r="H92" s="232" t="s">
        <v>24</v>
      </c>
      <c r="I92" s="257" t="s">
        <v>103</v>
      </c>
      <c r="J92" s="258"/>
    </row>
    <row r="93" spans="1:10" ht="31.5" customHeight="1">
      <c r="A93" s="382"/>
      <c r="B93" s="392"/>
      <c r="C93" s="324" t="s">
        <v>22</v>
      </c>
      <c r="D93" s="229" t="s">
        <v>15</v>
      </c>
      <c r="E93" s="257" t="s">
        <v>104</v>
      </c>
      <c r="F93" s="231"/>
      <c r="G93" s="324" t="s">
        <v>22</v>
      </c>
      <c r="H93" s="232" t="s">
        <v>15</v>
      </c>
      <c r="I93" s="257" t="s">
        <v>96</v>
      </c>
      <c r="J93" s="258"/>
    </row>
    <row r="94" spans="1:10" ht="25.5" customHeight="1">
      <c r="A94" s="382"/>
      <c r="B94" s="392"/>
      <c r="C94" s="324"/>
      <c r="D94" s="332" t="s">
        <v>19</v>
      </c>
      <c r="E94" s="313" t="s">
        <v>105</v>
      </c>
      <c r="F94" s="338"/>
      <c r="G94" s="324"/>
      <c r="H94" s="232" t="s">
        <v>19</v>
      </c>
      <c r="I94" s="257" t="s">
        <v>106</v>
      </c>
      <c r="J94" s="258"/>
    </row>
    <row r="95" spans="1:10">
      <c r="A95" s="382"/>
      <c r="B95" s="392"/>
      <c r="C95" s="324"/>
      <c r="D95" s="331"/>
      <c r="E95" s="314"/>
      <c r="F95" s="340"/>
      <c r="G95" s="324"/>
      <c r="H95" s="232" t="s">
        <v>24</v>
      </c>
      <c r="I95" s="257" t="s">
        <v>107</v>
      </c>
      <c r="J95" s="258"/>
    </row>
    <row r="96" spans="1:10" ht="33.75" customHeight="1">
      <c r="A96" s="382"/>
      <c r="B96" s="392"/>
      <c r="C96" s="325" t="s">
        <v>26</v>
      </c>
      <c r="D96" s="229" t="s">
        <v>15</v>
      </c>
      <c r="E96" s="257" t="s">
        <v>108</v>
      </c>
      <c r="F96" s="231"/>
      <c r="G96" s="325" t="s">
        <v>26</v>
      </c>
      <c r="H96" s="232" t="s">
        <v>15</v>
      </c>
      <c r="I96" s="257" t="s">
        <v>109</v>
      </c>
      <c r="J96" s="258"/>
    </row>
    <row r="97" spans="1:10" ht="25.5" customHeight="1">
      <c r="A97" s="382"/>
      <c r="B97" s="392"/>
      <c r="C97" s="325"/>
      <c r="D97" s="332" t="s">
        <v>19</v>
      </c>
      <c r="E97" s="313" t="s">
        <v>110</v>
      </c>
      <c r="F97" s="338"/>
      <c r="G97" s="325"/>
      <c r="H97" s="232" t="s">
        <v>19</v>
      </c>
      <c r="I97" s="257" t="s">
        <v>106</v>
      </c>
      <c r="J97" s="258"/>
    </row>
    <row r="98" spans="1:10" ht="15.75" customHeight="1">
      <c r="A98" s="382"/>
      <c r="B98" s="393"/>
      <c r="C98" s="326"/>
      <c r="D98" s="334"/>
      <c r="E98" s="316"/>
      <c r="F98" s="342"/>
      <c r="G98" s="326"/>
      <c r="H98" s="236" t="s">
        <v>24</v>
      </c>
      <c r="I98" s="259" t="s">
        <v>111</v>
      </c>
      <c r="J98" s="262"/>
    </row>
    <row r="99" spans="1:10" ht="22.5" customHeight="1">
      <c r="A99" s="382"/>
      <c r="B99" s="288" t="s">
        <v>3</v>
      </c>
      <c r="C99" s="288"/>
      <c r="D99" s="288"/>
      <c r="E99" s="288"/>
      <c r="F99" s="288"/>
      <c r="G99" s="288"/>
      <c r="H99" s="288"/>
      <c r="I99" s="288"/>
      <c r="J99" s="289"/>
    </row>
    <row r="100" spans="1:10">
      <c r="A100" s="382"/>
      <c r="B100" s="291"/>
      <c r="C100" s="291"/>
      <c r="D100" s="291"/>
      <c r="E100" s="291"/>
      <c r="F100" s="291"/>
      <c r="G100" s="291"/>
      <c r="H100" s="291"/>
      <c r="I100" s="291"/>
      <c r="J100" s="292"/>
    </row>
    <row r="101" spans="1:10" ht="25.5" customHeight="1">
      <c r="A101" s="382"/>
      <c r="B101" s="386" t="s">
        <v>112</v>
      </c>
      <c r="C101" s="327" t="s">
        <v>11</v>
      </c>
      <c r="D101" s="362" t="s">
        <v>15</v>
      </c>
      <c r="E101" s="358" t="s">
        <v>113</v>
      </c>
      <c r="F101" s="347"/>
      <c r="G101" s="327" t="s">
        <v>11</v>
      </c>
      <c r="H101" s="227" t="s">
        <v>15</v>
      </c>
      <c r="I101" s="255" t="s">
        <v>114</v>
      </c>
      <c r="J101" s="256"/>
    </row>
    <row r="102" spans="1:10" ht="31.5" customHeight="1">
      <c r="A102" s="382"/>
      <c r="B102" s="387"/>
      <c r="C102" s="328"/>
      <c r="D102" s="361"/>
      <c r="E102" s="359"/>
      <c r="F102" s="348"/>
      <c r="G102" s="328"/>
      <c r="H102" s="232" t="s">
        <v>19</v>
      </c>
      <c r="I102" s="257" t="s">
        <v>115</v>
      </c>
      <c r="J102" s="258"/>
    </row>
    <row r="103" spans="1:10" ht="35.5">
      <c r="A103" s="382"/>
      <c r="B103" s="387"/>
      <c r="C103" s="328"/>
      <c r="D103" s="361"/>
      <c r="E103" s="359"/>
      <c r="F103" s="348"/>
      <c r="G103" s="328"/>
      <c r="H103" s="232" t="s">
        <v>24</v>
      </c>
      <c r="I103" s="257" t="s">
        <v>116</v>
      </c>
      <c r="J103" s="258"/>
    </row>
    <row r="104" spans="1:10" ht="36.75" customHeight="1">
      <c r="A104" s="382"/>
      <c r="B104" s="387"/>
      <c r="C104" s="328"/>
      <c r="D104" s="361"/>
      <c r="E104" s="359"/>
      <c r="F104" s="348"/>
      <c r="G104" s="328"/>
      <c r="H104" s="232" t="s">
        <v>36</v>
      </c>
      <c r="I104" s="257" t="s">
        <v>117</v>
      </c>
      <c r="J104" s="258"/>
    </row>
    <row r="105" spans="1:10" ht="32.25" customHeight="1">
      <c r="A105" s="382"/>
      <c r="B105" s="387"/>
      <c r="C105" s="328"/>
      <c r="D105" s="361"/>
      <c r="E105" s="359"/>
      <c r="F105" s="348"/>
      <c r="G105" s="328"/>
      <c r="H105" s="232" t="s">
        <v>61</v>
      </c>
      <c r="I105" s="257" t="s">
        <v>118</v>
      </c>
      <c r="J105" s="258"/>
    </row>
    <row r="106" spans="1:10" ht="24" customHeight="1">
      <c r="A106" s="382"/>
      <c r="B106" s="387"/>
      <c r="C106" s="328"/>
      <c r="D106" s="361"/>
      <c r="E106" s="359"/>
      <c r="F106" s="348"/>
      <c r="G106" s="328"/>
      <c r="H106" s="232" t="s">
        <v>80</v>
      </c>
      <c r="I106" s="257" t="s">
        <v>119</v>
      </c>
      <c r="J106" s="258"/>
    </row>
    <row r="107" spans="1:10" ht="15" customHeight="1">
      <c r="A107" s="382"/>
      <c r="B107" s="387"/>
      <c r="C107" s="328"/>
      <c r="D107" s="361"/>
      <c r="E107" s="359"/>
      <c r="F107" s="348"/>
      <c r="G107" s="328"/>
      <c r="H107" s="232" t="s">
        <v>120</v>
      </c>
      <c r="I107" s="257" t="s">
        <v>121</v>
      </c>
      <c r="J107" s="258"/>
    </row>
    <row r="108" spans="1:10" ht="15" customHeight="1">
      <c r="A108" s="382"/>
      <c r="B108" s="387"/>
      <c r="C108" s="328"/>
      <c r="D108" s="361"/>
      <c r="E108" s="359"/>
      <c r="F108" s="348"/>
      <c r="G108" s="328"/>
      <c r="H108" s="232" t="s">
        <v>122</v>
      </c>
      <c r="I108" s="257" t="s">
        <v>123</v>
      </c>
      <c r="J108" s="258"/>
    </row>
    <row r="109" spans="1:10" ht="15.75" customHeight="1">
      <c r="A109" s="382"/>
      <c r="B109" s="387"/>
      <c r="C109" s="328"/>
      <c r="D109" s="361"/>
      <c r="E109" s="359"/>
      <c r="F109" s="348"/>
      <c r="G109" s="328"/>
      <c r="H109" s="232" t="s">
        <v>124</v>
      </c>
      <c r="I109" s="257" t="s">
        <v>125</v>
      </c>
      <c r="J109" s="258"/>
    </row>
    <row r="110" spans="1:10" ht="24">
      <c r="A110" s="382"/>
      <c r="B110" s="387"/>
      <c r="C110" s="329"/>
      <c r="D110" s="363"/>
      <c r="E110" s="360"/>
      <c r="F110" s="349"/>
      <c r="G110" s="329" t="s">
        <v>14</v>
      </c>
      <c r="H110" s="232" t="s">
        <v>15</v>
      </c>
      <c r="I110" s="257" t="s">
        <v>114</v>
      </c>
      <c r="J110" s="258"/>
    </row>
    <row r="111" spans="1:10" ht="12">
      <c r="A111" s="382"/>
      <c r="B111" s="387"/>
      <c r="C111" s="329"/>
      <c r="D111" s="364"/>
      <c r="E111" s="360"/>
      <c r="F111" s="350"/>
      <c r="G111" s="329"/>
      <c r="H111" s="232" t="s">
        <v>19</v>
      </c>
      <c r="I111" s="257" t="s">
        <v>115</v>
      </c>
      <c r="J111" s="258"/>
    </row>
    <row r="112" spans="1:10" ht="35.5">
      <c r="A112" s="382"/>
      <c r="B112" s="387"/>
      <c r="C112" s="329"/>
      <c r="D112" s="364"/>
      <c r="E112" s="360"/>
      <c r="F112" s="350"/>
      <c r="G112" s="329"/>
      <c r="H112" s="232" t="s">
        <v>24</v>
      </c>
      <c r="I112" s="257" t="s">
        <v>116</v>
      </c>
      <c r="J112" s="258"/>
    </row>
    <row r="113" spans="1:10" ht="24">
      <c r="A113" s="382"/>
      <c r="B113" s="387"/>
      <c r="C113" s="329"/>
      <c r="D113" s="364"/>
      <c r="E113" s="360"/>
      <c r="F113" s="350"/>
      <c r="G113" s="329"/>
      <c r="H113" s="232" t="s">
        <v>36</v>
      </c>
      <c r="I113" s="257" t="s">
        <v>126</v>
      </c>
      <c r="J113" s="258"/>
    </row>
    <row r="114" spans="1:10" ht="23.5">
      <c r="A114" s="382"/>
      <c r="B114" s="387"/>
      <c r="C114" s="329"/>
      <c r="D114" s="364"/>
      <c r="E114" s="360"/>
      <c r="F114" s="350"/>
      <c r="G114" s="329"/>
      <c r="H114" s="232" t="s">
        <v>61</v>
      </c>
      <c r="I114" s="257" t="s">
        <v>127</v>
      </c>
      <c r="J114" s="258"/>
    </row>
    <row r="115" spans="1:10" ht="24" customHeight="1">
      <c r="A115" s="382"/>
      <c r="B115" s="387"/>
      <c r="C115" s="329"/>
      <c r="D115" s="364"/>
      <c r="E115" s="360"/>
      <c r="F115" s="350"/>
      <c r="G115" s="329"/>
      <c r="H115" s="232" t="s">
        <v>80</v>
      </c>
      <c r="I115" s="257" t="s">
        <v>119</v>
      </c>
      <c r="J115" s="258"/>
    </row>
    <row r="116" spans="1:10" ht="12">
      <c r="A116" s="382"/>
      <c r="B116" s="387"/>
      <c r="C116" s="329"/>
      <c r="D116" s="364"/>
      <c r="E116" s="360"/>
      <c r="F116" s="350"/>
      <c r="G116" s="329"/>
      <c r="H116" s="232" t="s">
        <v>120</v>
      </c>
      <c r="I116" s="257" t="s">
        <v>128</v>
      </c>
      <c r="J116" s="258"/>
    </row>
    <row r="117" spans="1:10">
      <c r="A117" s="382"/>
      <c r="B117" s="387"/>
      <c r="C117" s="329"/>
      <c r="D117" s="364"/>
      <c r="E117" s="360"/>
      <c r="F117" s="350"/>
      <c r="G117" s="329"/>
      <c r="H117" s="232" t="s">
        <v>122</v>
      </c>
      <c r="I117" s="257" t="s">
        <v>123</v>
      </c>
      <c r="J117" s="258"/>
    </row>
    <row r="118" spans="1:10" ht="12">
      <c r="A118" s="382"/>
      <c r="B118" s="387"/>
      <c r="C118" s="329"/>
      <c r="D118" s="365"/>
      <c r="E118" s="360"/>
      <c r="F118" s="351"/>
      <c r="G118" s="329"/>
      <c r="H118" s="232" t="s">
        <v>124</v>
      </c>
      <c r="I118" s="257" t="s">
        <v>129</v>
      </c>
      <c r="J118" s="258"/>
    </row>
    <row r="119" spans="1:10" ht="24">
      <c r="A119" s="382"/>
      <c r="B119" s="387"/>
      <c r="C119" s="323" t="s">
        <v>17</v>
      </c>
      <c r="D119" s="229" t="s">
        <v>15</v>
      </c>
      <c r="E119" s="230" t="s">
        <v>130</v>
      </c>
      <c r="F119" s="231"/>
      <c r="G119" s="323" t="s">
        <v>17</v>
      </c>
      <c r="H119" s="232" t="s">
        <v>15</v>
      </c>
      <c r="I119" s="257" t="s">
        <v>114</v>
      </c>
      <c r="J119" s="258"/>
    </row>
    <row r="120" spans="1:10" ht="12">
      <c r="A120" s="382"/>
      <c r="B120" s="387"/>
      <c r="C120" s="323"/>
      <c r="D120" s="366" t="s">
        <v>19</v>
      </c>
      <c r="E120" s="352" t="s">
        <v>131</v>
      </c>
      <c r="F120" s="352"/>
      <c r="G120" s="323"/>
      <c r="H120" s="232" t="s">
        <v>19</v>
      </c>
      <c r="I120" s="257" t="s">
        <v>115</v>
      </c>
      <c r="J120" s="258"/>
    </row>
    <row r="121" spans="1:10" ht="35.5">
      <c r="A121" s="382"/>
      <c r="B121" s="387"/>
      <c r="C121" s="323"/>
      <c r="D121" s="366"/>
      <c r="E121" s="352"/>
      <c r="F121" s="352"/>
      <c r="G121" s="323"/>
      <c r="H121" s="232" t="s">
        <v>24</v>
      </c>
      <c r="I121" s="257" t="s">
        <v>116</v>
      </c>
      <c r="J121" s="258"/>
    </row>
    <row r="122" spans="1:10" ht="24">
      <c r="A122" s="382"/>
      <c r="B122" s="387"/>
      <c r="C122" s="323"/>
      <c r="D122" s="366"/>
      <c r="E122" s="352"/>
      <c r="F122" s="352"/>
      <c r="G122" s="323"/>
      <c r="H122" s="232" t="s">
        <v>36</v>
      </c>
      <c r="I122" s="257" t="s">
        <v>126</v>
      </c>
      <c r="J122" s="258"/>
    </row>
    <row r="123" spans="1:10" ht="23">
      <c r="A123" s="382"/>
      <c r="B123" s="387"/>
      <c r="C123" s="323"/>
      <c r="D123" s="366"/>
      <c r="E123" s="352"/>
      <c r="F123" s="352"/>
      <c r="G123" s="323"/>
      <c r="H123" s="232" t="s">
        <v>61</v>
      </c>
      <c r="I123" s="257" t="s">
        <v>132</v>
      </c>
      <c r="J123" s="258"/>
    </row>
    <row r="124" spans="1:10" ht="12">
      <c r="A124" s="382"/>
      <c r="B124" s="387"/>
      <c r="C124" s="323"/>
      <c r="D124" s="366"/>
      <c r="E124" s="352"/>
      <c r="F124" s="352"/>
      <c r="G124" s="323"/>
      <c r="H124" s="232" t="s">
        <v>80</v>
      </c>
      <c r="I124" s="257" t="s">
        <v>119</v>
      </c>
      <c r="J124" s="258"/>
    </row>
    <row r="125" spans="1:10" ht="12">
      <c r="A125" s="382"/>
      <c r="B125" s="387"/>
      <c r="C125" s="323"/>
      <c r="D125" s="366"/>
      <c r="E125" s="352"/>
      <c r="F125" s="352"/>
      <c r="G125" s="323"/>
      <c r="H125" s="232" t="s">
        <v>120</v>
      </c>
      <c r="I125" s="257" t="s">
        <v>133</v>
      </c>
      <c r="J125" s="258"/>
    </row>
    <row r="126" spans="1:10">
      <c r="A126" s="382"/>
      <c r="B126" s="387"/>
      <c r="C126" s="323"/>
      <c r="D126" s="366"/>
      <c r="E126" s="352"/>
      <c r="F126" s="352"/>
      <c r="G126" s="323"/>
      <c r="H126" s="232" t="s">
        <v>122</v>
      </c>
      <c r="I126" s="257" t="s">
        <v>134</v>
      </c>
      <c r="J126" s="258"/>
    </row>
    <row r="127" spans="1:10" ht="12">
      <c r="A127" s="382"/>
      <c r="B127" s="387"/>
      <c r="C127" s="323"/>
      <c r="D127" s="366"/>
      <c r="E127" s="352"/>
      <c r="F127" s="352"/>
      <c r="G127" s="323"/>
      <c r="H127" s="232" t="s">
        <v>124</v>
      </c>
      <c r="I127" s="257" t="s">
        <v>129</v>
      </c>
      <c r="J127" s="258"/>
    </row>
    <row r="128" spans="1:10" ht="12">
      <c r="A128" s="382"/>
      <c r="B128" s="387"/>
      <c r="C128" s="324" t="s">
        <v>22</v>
      </c>
      <c r="D128" s="229" t="s">
        <v>15</v>
      </c>
      <c r="E128" s="230" t="s">
        <v>135</v>
      </c>
      <c r="F128" s="231"/>
      <c r="G128" s="324" t="s">
        <v>22</v>
      </c>
      <c r="H128" s="232" t="s">
        <v>15</v>
      </c>
      <c r="I128" s="257" t="s">
        <v>136</v>
      </c>
      <c r="J128" s="258"/>
    </row>
    <row r="129" spans="1:10" ht="12">
      <c r="A129" s="382"/>
      <c r="B129" s="387"/>
      <c r="C129" s="324"/>
      <c r="D129" s="361" t="s">
        <v>19</v>
      </c>
      <c r="E129" s="355" t="s">
        <v>137</v>
      </c>
      <c r="F129" s="352"/>
      <c r="G129" s="324"/>
      <c r="H129" s="232" t="s">
        <v>19</v>
      </c>
      <c r="I129" s="257" t="s">
        <v>138</v>
      </c>
      <c r="J129" s="258"/>
    </row>
    <row r="130" spans="1:10" ht="12">
      <c r="A130" s="382"/>
      <c r="B130" s="387"/>
      <c r="C130" s="324"/>
      <c r="D130" s="361"/>
      <c r="E130" s="355"/>
      <c r="F130" s="352"/>
      <c r="G130" s="324"/>
      <c r="H130" s="232" t="s">
        <v>24</v>
      </c>
      <c r="I130" s="257" t="s">
        <v>139</v>
      </c>
      <c r="J130" s="258"/>
    </row>
    <row r="131" spans="1:10" ht="12">
      <c r="A131" s="382"/>
      <c r="B131" s="387"/>
      <c r="C131" s="324"/>
      <c r="D131" s="361"/>
      <c r="E131" s="355"/>
      <c r="F131" s="352"/>
      <c r="G131" s="324"/>
      <c r="H131" s="232" t="s">
        <v>36</v>
      </c>
      <c r="I131" s="257" t="s">
        <v>119</v>
      </c>
      <c r="J131" s="258"/>
    </row>
    <row r="132" spans="1:10" ht="12">
      <c r="A132" s="382"/>
      <c r="B132" s="387"/>
      <c r="C132" s="324"/>
      <c r="D132" s="361"/>
      <c r="E132" s="355"/>
      <c r="F132" s="352"/>
      <c r="G132" s="324"/>
      <c r="H132" s="232" t="s">
        <v>61</v>
      </c>
      <c r="I132" s="257" t="s">
        <v>140</v>
      </c>
      <c r="J132" s="258"/>
    </row>
    <row r="133" spans="1:10">
      <c r="A133" s="382"/>
      <c r="B133" s="387"/>
      <c r="C133" s="324"/>
      <c r="D133" s="361"/>
      <c r="E133" s="355"/>
      <c r="F133" s="352"/>
      <c r="G133" s="324"/>
      <c r="H133" s="232" t="s">
        <v>80</v>
      </c>
      <c r="I133" s="257" t="s">
        <v>134</v>
      </c>
      <c r="J133" s="258"/>
    </row>
    <row r="134" spans="1:10" ht="12">
      <c r="A134" s="382"/>
      <c r="B134" s="387"/>
      <c r="C134" s="324"/>
      <c r="D134" s="361"/>
      <c r="E134" s="355"/>
      <c r="F134" s="352"/>
      <c r="G134" s="324"/>
      <c r="H134" s="232" t="s">
        <v>120</v>
      </c>
      <c r="I134" s="257" t="s">
        <v>129</v>
      </c>
      <c r="J134" s="258"/>
    </row>
    <row r="135" spans="1:10" ht="12">
      <c r="A135" s="382"/>
      <c r="B135" s="387"/>
      <c r="C135" s="325" t="s">
        <v>26</v>
      </c>
      <c r="D135" s="229" t="s">
        <v>15</v>
      </c>
      <c r="E135" s="230" t="s">
        <v>135</v>
      </c>
      <c r="F135" s="231"/>
      <c r="G135" s="325" t="s">
        <v>26</v>
      </c>
      <c r="H135" s="232" t="s">
        <v>15</v>
      </c>
      <c r="I135" s="257" t="s">
        <v>141</v>
      </c>
      <c r="J135" s="258"/>
    </row>
    <row r="136" spans="1:10" ht="12">
      <c r="A136" s="382"/>
      <c r="B136" s="387"/>
      <c r="C136" s="325"/>
      <c r="D136" s="361" t="s">
        <v>19</v>
      </c>
      <c r="E136" s="355" t="s">
        <v>142</v>
      </c>
      <c r="F136" s="352"/>
      <c r="G136" s="325"/>
      <c r="H136" s="232" t="s">
        <v>19</v>
      </c>
      <c r="I136" s="257" t="s">
        <v>138</v>
      </c>
      <c r="J136" s="258"/>
    </row>
    <row r="137" spans="1:10" ht="12">
      <c r="A137" s="382"/>
      <c r="B137" s="387"/>
      <c r="C137" s="325"/>
      <c r="D137" s="361"/>
      <c r="E137" s="356"/>
      <c r="F137" s="348"/>
      <c r="G137" s="325"/>
      <c r="H137" s="232" t="s">
        <v>24</v>
      </c>
      <c r="I137" s="257" t="s">
        <v>139</v>
      </c>
      <c r="J137" s="258"/>
    </row>
    <row r="138" spans="1:10" ht="12">
      <c r="A138" s="382"/>
      <c r="B138" s="387"/>
      <c r="C138" s="325"/>
      <c r="D138" s="361"/>
      <c r="E138" s="356"/>
      <c r="F138" s="348"/>
      <c r="G138" s="325"/>
      <c r="H138" s="232" t="s">
        <v>36</v>
      </c>
      <c r="I138" s="257" t="s">
        <v>143</v>
      </c>
      <c r="J138" s="258"/>
    </row>
    <row r="139" spans="1:10" ht="12">
      <c r="A139" s="382"/>
      <c r="B139" s="387"/>
      <c r="C139" s="325"/>
      <c r="D139" s="361"/>
      <c r="E139" s="356"/>
      <c r="F139" s="348"/>
      <c r="G139" s="325"/>
      <c r="H139" s="232" t="s">
        <v>61</v>
      </c>
      <c r="I139" s="257" t="s">
        <v>133</v>
      </c>
      <c r="J139" s="258"/>
    </row>
    <row r="140" spans="1:10">
      <c r="A140" s="382"/>
      <c r="B140" s="387"/>
      <c r="C140" s="325"/>
      <c r="D140" s="361"/>
      <c r="E140" s="356"/>
      <c r="F140" s="348"/>
      <c r="G140" s="325"/>
      <c r="H140" s="232" t="s">
        <v>80</v>
      </c>
      <c r="I140" s="257" t="s">
        <v>134</v>
      </c>
      <c r="J140" s="258"/>
    </row>
    <row r="141" spans="1:10" ht="12">
      <c r="A141" s="382"/>
      <c r="B141" s="388"/>
      <c r="C141" s="326"/>
      <c r="D141" s="367"/>
      <c r="E141" s="357"/>
      <c r="F141" s="353"/>
      <c r="G141" s="326"/>
      <c r="H141" s="236" t="s">
        <v>120</v>
      </c>
      <c r="I141" s="259" t="s">
        <v>129</v>
      </c>
      <c r="J141" s="262"/>
    </row>
    <row r="142" spans="1:10" ht="15" customHeight="1">
      <c r="A142" s="382"/>
      <c r="B142" s="288" t="s">
        <v>3</v>
      </c>
      <c r="C142" s="288"/>
      <c r="D142" s="288"/>
      <c r="E142" s="288"/>
      <c r="F142" s="288"/>
      <c r="G142" s="288"/>
      <c r="H142" s="288"/>
      <c r="I142" s="288"/>
      <c r="J142" s="289"/>
    </row>
    <row r="143" spans="1:10">
      <c r="A143" s="383"/>
      <c r="B143" s="291"/>
      <c r="C143" s="291"/>
      <c r="D143" s="291"/>
      <c r="E143" s="291"/>
      <c r="F143" s="291"/>
      <c r="G143" s="291"/>
      <c r="H143" s="291"/>
      <c r="I143" s="291"/>
      <c r="J143" s="292"/>
    </row>
    <row r="144" spans="1:10">
      <c r="A144" s="287" t="s">
        <v>3</v>
      </c>
      <c r="B144" s="288"/>
      <c r="C144" s="288"/>
      <c r="D144" s="288"/>
      <c r="E144" s="288"/>
      <c r="F144" s="288"/>
      <c r="G144" s="288"/>
      <c r="H144" s="288"/>
      <c r="I144" s="288"/>
      <c r="J144" s="289"/>
    </row>
    <row r="145" spans="1:10">
      <c r="A145" s="290"/>
      <c r="B145" s="291"/>
      <c r="C145" s="291"/>
      <c r="D145" s="291"/>
      <c r="E145" s="291"/>
      <c r="F145" s="291"/>
      <c r="G145" s="291"/>
      <c r="H145" s="291"/>
      <c r="I145" s="291"/>
      <c r="J145" s="292"/>
    </row>
    <row r="146" spans="1:10" ht="15" customHeight="1">
      <c r="A146" s="305" t="s">
        <v>144</v>
      </c>
      <c r="B146" s="306"/>
      <c r="C146" s="306"/>
      <c r="D146" s="306"/>
      <c r="E146" s="306"/>
      <c r="F146" s="306"/>
      <c r="G146" s="306"/>
      <c r="H146" s="306"/>
      <c r="I146" s="306"/>
      <c r="J146" s="307"/>
    </row>
    <row r="147" spans="1:10" ht="12" thickBot="1">
      <c r="A147" s="308"/>
      <c r="B147" s="309"/>
      <c r="C147" s="309"/>
      <c r="D147" s="309"/>
      <c r="E147" s="309"/>
      <c r="F147" s="309"/>
      <c r="G147" s="309"/>
      <c r="H147" s="309"/>
      <c r="I147" s="309"/>
      <c r="J147" s="310"/>
    </row>
    <row r="148" spans="1:10" s="281" customFormat="1" ht="38.25" customHeight="1" thickBot="1">
      <c r="A148" s="384"/>
      <c r="B148" s="162" t="s">
        <v>6</v>
      </c>
      <c r="C148" s="163" t="s">
        <v>7</v>
      </c>
      <c r="D148" s="380" t="s">
        <v>8</v>
      </c>
      <c r="E148" s="380"/>
      <c r="F148" s="222" t="s">
        <v>708</v>
      </c>
      <c r="G148" s="164" t="s">
        <v>7</v>
      </c>
      <c r="H148" s="196"/>
      <c r="I148" s="164" t="s">
        <v>9</v>
      </c>
      <c r="J148" s="222" t="s">
        <v>708</v>
      </c>
    </row>
    <row r="149" spans="1:10" ht="25.5" customHeight="1">
      <c r="A149" s="385"/>
      <c r="B149" s="386" t="s">
        <v>145</v>
      </c>
      <c r="C149" s="327" t="s">
        <v>11</v>
      </c>
      <c r="D149" s="330" t="s">
        <v>15</v>
      </c>
      <c r="E149" s="354" t="s">
        <v>146</v>
      </c>
      <c r="F149" s="347"/>
      <c r="G149" s="327" t="s">
        <v>11</v>
      </c>
      <c r="H149" s="227" t="s">
        <v>15</v>
      </c>
      <c r="I149" s="255" t="s">
        <v>147</v>
      </c>
      <c r="J149" s="256"/>
    </row>
    <row r="150" spans="1:10" ht="23.5">
      <c r="A150" s="385"/>
      <c r="B150" s="387"/>
      <c r="C150" s="328"/>
      <c r="D150" s="333"/>
      <c r="E150" s="315"/>
      <c r="F150" s="352"/>
      <c r="G150" s="328"/>
      <c r="H150" s="232" t="s">
        <v>19</v>
      </c>
      <c r="I150" s="257" t="s">
        <v>148</v>
      </c>
      <c r="J150" s="258"/>
    </row>
    <row r="151" spans="1:10" ht="25.5" customHeight="1">
      <c r="A151" s="385"/>
      <c r="B151" s="387"/>
      <c r="C151" s="328"/>
      <c r="D151" s="331"/>
      <c r="E151" s="314"/>
      <c r="F151" s="352"/>
      <c r="G151" s="328"/>
      <c r="H151" s="232" t="s">
        <v>24</v>
      </c>
      <c r="I151" s="257" t="s">
        <v>149</v>
      </c>
      <c r="J151" s="258"/>
    </row>
    <row r="152" spans="1:10" ht="23.5">
      <c r="A152" s="385"/>
      <c r="B152" s="387"/>
      <c r="C152" s="328"/>
      <c r="D152" s="332" t="s">
        <v>19</v>
      </c>
      <c r="E152" s="313" t="s">
        <v>150</v>
      </c>
      <c r="F152" s="352"/>
      <c r="G152" s="328"/>
      <c r="H152" s="232" t="s">
        <v>36</v>
      </c>
      <c r="I152" s="257" t="s">
        <v>151</v>
      </c>
      <c r="J152" s="258"/>
    </row>
    <row r="153" spans="1:10" ht="23">
      <c r="A153" s="385"/>
      <c r="B153" s="387"/>
      <c r="C153" s="328"/>
      <c r="D153" s="333"/>
      <c r="E153" s="315"/>
      <c r="F153" s="352"/>
      <c r="G153" s="328"/>
      <c r="H153" s="232" t="s">
        <v>61</v>
      </c>
      <c r="I153" s="257" t="s">
        <v>152</v>
      </c>
      <c r="J153" s="258"/>
    </row>
    <row r="154" spans="1:10">
      <c r="A154" s="385"/>
      <c r="B154" s="387"/>
      <c r="C154" s="328"/>
      <c r="D154" s="331"/>
      <c r="E154" s="314"/>
      <c r="F154" s="352"/>
      <c r="G154" s="328"/>
      <c r="H154" s="232" t="s">
        <v>80</v>
      </c>
      <c r="I154" s="257" t="s">
        <v>153</v>
      </c>
      <c r="J154" s="258"/>
    </row>
    <row r="155" spans="1:10" ht="24">
      <c r="A155" s="385"/>
      <c r="B155" s="387"/>
      <c r="C155" s="329" t="s">
        <v>14</v>
      </c>
      <c r="D155" s="332" t="s">
        <v>15</v>
      </c>
      <c r="E155" s="313" t="s">
        <v>154</v>
      </c>
      <c r="F155" s="338"/>
      <c r="G155" s="329" t="s">
        <v>14</v>
      </c>
      <c r="H155" s="232" t="s">
        <v>15</v>
      </c>
      <c r="I155" s="257" t="s">
        <v>155</v>
      </c>
      <c r="J155" s="258"/>
    </row>
    <row r="156" spans="1:10" ht="23.5">
      <c r="A156" s="385"/>
      <c r="B156" s="387"/>
      <c r="C156" s="329"/>
      <c r="D156" s="333"/>
      <c r="E156" s="315"/>
      <c r="F156" s="339"/>
      <c r="G156" s="329"/>
      <c r="H156" s="232" t="s">
        <v>19</v>
      </c>
      <c r="I156" s="257" t="s">
        <v>148</v>
      </c>
      <c r="J156" s="258"/>
    </row>
    <row r="157" spans="1:10" ht="12">
      <c r="A157" s="385"/>
      <c r="B157" s="387"/>
      <c r="C157" s="329"/>
      <c r="D157" s="331"/>
      <c r="E157" s="314"/>
      <c r="F157" s="340"/>
      <c r="G157" s="329"/>
      <c r="H157" s="232" t="s">
        <v>24</v>
      </c>
      <c r="I157" s="257" t="s">
        <v>156</v>
      </c>
      <c r="J157" s="258"/>
    </row>
    <row r="158" spans="1:10" ht="23.5">
      <c r="A158" s="385"/>
      <c r="B158" s="387"/>
      <c r="C158" s="329"/>
      <c r="D158" s="332" t="s">
        <v>19</v>
      </c>
      <c r="E158" s="313" t="s">
        <v>157</v>
      </c>
      <c r="F158" s="338"/>
      <c r="G158" s="329"/>
      <c r="H158" s="232" t="s">
        <v>36</v>
      </c>
      <c r="I158" s="257" t="s">
        <v>151</v>
      </c>
      <c r="J158" s="258"/>
    </row>
    <row r="159" spans="1:10" ht="25.5" customHeight="1">
      <c r="A159" s="385"/>
      <c r="B159" s="387"/>
      <c r="C159" s="329"/>
      <c r="D159" s="331"/>
      <c r="E159" s="314"/>
      <c r="F159" s="340"/>
      <c r="G159" s="329"/>
      <c r="H159" s="232" t="s">
        <v>61</v>
      </c>
      <c r="I159" s="257" t="s">
        <v>158</v>
      </c>
      <c r="J159" s="258"/>
    </row>
    <row r="160" spans="1:10" ht="24">
      <c r="A160" s="385"/>
      <c r="B160" s="387"/>
      <c r="C160" s="323" t="s">
        <v>17</v>
      </c>
      <c r="D160" s="332" t="s">
        <v>15</v>
      </c>
      <c r="E160" s="313" t="s">
        <v>159</v>
      </c>
      <c r="F160" s="338"/>
      <c r="G160" s="323" t="s">
        <v>17</v>
      </c>
      <c r="H160" s="232" t="s">
        <v>15</v>
      </c>
      <c r="I160" s="257" t="s">
        <v>160</v>
      </c>
      <c r="J160" s="258"/>
    </row>
    <row r="161" spans="1:10" ht="25.5" customHeight="1">
      <c r="A161" s="385"/>
      <c r="B161" s="387"/>
      <c r="C161" s="323"/>
      <c r="D161" s="333"/>
      <c r="E161" s="315"/>
      <c r="F161" s="339"/>
      <c r="G161" s="323"/>
      <c r="H161" s="232" t="s">
        <v>19</v>
      </c>
      <c r="I161" s="257" t="s">
        <v>161</v>
      </c>
      <c r="J161" s="258"/>
    </row>
    <row r="162" spans="1:10" ht="26.25" customHeight="1">
      <c r="A162" s="385"/>
      <c r="B162" s="387"/>
      <c r="C162" s="323"/>
      <c r="D162" s="331"/>
      <c r="E162" s="314"/>
      <c r="F162" s="340"/>
      <c r="G162" s="323"/>
      <c r="H162" s="232" t="s">
        <v>24</v>
      </c>
      <c r="I162" s="257" t="s">
        <v>162</v>
      </c>
      <c r="J162" s="258"/>
    </row>
    <row r="163" spans="1:10" ht="23.5">
      <c r="A163" s="385"/>
      <c r="B163" s="387"/>
      <c r="C163" s="323"/>
      <c r="D163" s="332" t="s">
        <v>19</v>
      </c>
      <c r="E163" s="313" t="s">
        <v>163</v>
      </c>
      <c r="F163" s="338"/>
      <c r="G163" s="323"/>
      <c r="H163" s="232" t="s">
        <v>36</v>
      </c>
      <c r="I163" s="257" t="s">
        <v>151</v>
      </c>
      <c r="J163" s="258"/>
    </row>
    <row r="164" spans="1:10" ht="25.5" customHeight="1">
      <c r="A164" s="385"/>
      <c r="B164" s="387"/>
      <c r="C164" s="323"/>
      <c r="D164" s="331"/>
      <c r="E164" s="314"/>
      <c r="F164" s="340"/>
      <c r="G164" s="323"/>
      <c r="H164" s="232" t="s">
        <v>61</v>
      </c>
      <c r="I164" s="257" t="s">
        <v>164</v>
      </c>
      <c r="J164" s="258"/>
    </row>
    <row r="165" spans="1:10" ht="24">
      <c r="A165" s="385"/>
      <c r="B165" s="387"/>
      <c r="C165" s="324" t="s">
        <v>22</v>
      </c>
      <c r="D165" s="332" t="s">
        <v>15</v>
      </c>
      <c r="E165" s="313" t="s">
        <v>165</v>
      </c>
      <c r="F165" s="338"/>
      <c r="G165" s="324" t="s">
        <v>22</v>
      </c>
      <c r="H165" s="232" t="s">
        <v>15</v>
      </c>
      <c r="I165" s="257" t="s">
        <v>160</v>
      </c>
      <c r="J165" s="258"/>
    </row>
    <row r="166" spans="1:10" ht="25.5" customHeight="1">
      <c r="A166" s="385"/>
      <c r="B166" s="387"/>
      <c r="C166" s="324"/>
      <c r="D166" s="333"/>
      <c r="E166" s="315"/>
      <c r="F166" s="339"/>
      <c r="G166" s="324"/>
      <c r="H166" s="232" t="s">
        <v>19</v>
      </c>
      <c r="I166" s="257" t="s">
        <v>166</v>
      </c>
      <c r="J166" s="258"/>
    </row>
    <row r="167" spans="1:10" ht="12">
      <c r="A167" s="385"/>
      <c r="B167" s="387"/>
      <c r="C167" s="324"/>
      <c r="D167" s="331"/>
      <c r="E167" s="314"/>
      <c r="F167" s="340"/>
      <c r="G167" s="324"/>
      <c r="H167" s="232" t="s">
        <v>24</v>
      </c>
      <c r="I167" s="257" t="s">
        <v>167</v>
      </c>
      <c r="J167" s="258"/>
    </row>
    <row r="168" spans="1:10" ht="23.5">
      <c r="A168" s="385"/>
      <c r="B168" s="387"/>
      <c r="C168" s="324"/>
      <c r="D168" s="332" t="s">
        <v>19</v>
      </c>
      <c r="E168" s="313" t="s">
        <v>168</v>
      </c>
      <c r="F168" s="338"/>
      <c r="G168" s="324"/>
      <c r="H168" s="232" t="s">
        <v>36</v>
      </c>
      <c r="I168" s="257" t="s">
        <v>151</v>
      </c>
      <c r="J168" s="258"/>
    </row>
    <row r="169" spans="1:10" ht="35">
      <c r="A169" s="385"/>
      <c r="B169" s="387"/>
      <c r="C169" s="324"/>
      <c r="D169" s="331"/>
      <c r="E169" s="314"/>
      <c r="F169" s="340"/>
      <c r="G169" s="324"/>
      <c r="H169" s="232" t="s">
        <v>61</v>
      </c>
      <c r="I169" s="257" t="s">
        <v>169</v>
      </c>
      <c r="J169" s="258"/>
    </row>
    <row r="170" spans="1:10" ht="25.5" customHeight="1">
      <c r="A170" s="385"/>
      <c r="B170" s="387"/>
      <c r="C170" s="325" t="s">
        <v>26</v>
      </c>
      <c r="D170" s="332" t="s">
        <v>15</v>
      </c>
      <c r="E170" s="313" t="s">
        <v>170</v>
      </c>
      <c r="F170" s="338"/>
      <c r="G170" s="325" t="s">
        <v>26</v>
      </c>
      <c r="H170" s="232" t="s">
        <v>15</v>
      </c>
      <c r="I170" s="257" t="s">
        <v>171</v>
      </c>
      <c r="J170" s="258"/>
    </row>
    <row r="171" spans="1:10" ht="12">
      <c r="A171" s="385"/>
      <c r="B171" s="387"/>
      <c r="C171" s="325"/>
      <c r="D171" s="333"/>
      <c r="E171" s="315"/>
      <c r="F171" s="339"/>
      <c r="G171" s="325"/>
      <c r="H171" s="232" t="s">
        <v>19</v>
      </c>
      <c r="I171" s="257" t="s">
        <v>172</v>
      </c>
      <c r="J171" s="258"/>
    </row>
    <row r="172" spans="1:10" ht="12">
      <c r="A172" s="385"/>
      <c r="B172" s="387"/>
      <c r="C172" s="325"/>
      <c r="D172" s="331"/>
      <c r="E172" s="314"/>
      <c r="F172" s="340"/>
      <c r="G172" s="325"/>
      <c r="H172" s="232" t="s">
        <v>24</v>
      </c>
      <c r="I172" s="257" t="s">
        <v>173</v>
      </c>
      <c r="J172" s="258"/>
    </row>
    <row r="173" spans="1:10" ht="24">
      <c r="A173" s="385"/>
      <c r="B173" s="387"/>
      <c r="C173" s="325"/>
      <c r="D173" s="332" t="s">
        <v>19</v>
      </c>
      <c r="E173" s="313" t="s">
        <v>174</v>
      </c>
      <c r="F173" s="338"/>
      <c r="G173" s="325"/>
      <c r="H173" s="232" t="s">
        <v>36</v>
      </c>
      <c r="I173" s="257" t="s">
        <v>175</v>
      </c>
      <c r="J173" s="258"/>
    </row>
    <row r="174" spans="1:10" ht="34.5">
      <c r="A174" s="385"/>
      <c r="B174" s="388"/>
      <c r="C174" s="326"/>
      <c r="D174" s="334"/>
      <c r="E174" s="316"/>
      <c r="F174" s="342"/>
      <c r="G174" s="326"/>
      <c r="H174" s="236" t="s">
        <v>61</v>
      </c>
      <c r="I174" s="259" t="s">
        <v>176</v>
      </c>
      <c r="J174" s="262"/>
    </row>
    <row r="175" spans="1:10">
      <c r="A175" s="385"/>
      <c r="B175" s="287" t="s">
        <v>3</v>
      </c>
      <c r="C175" s="288"/>
      <c r="D175" s="288"/>
      <c r="E175" s="288"/>
      <c r="F175" s="288"/>
      <c r="G175" s="288"/>
      <c r="H175" s="288"/>
      <c r="I175" s="288"/>
      <c r="J175" s="289"/>
    </row>
    <row r="176" spans="1:10">
      <c r="A176" s="385"/>
      <c r="B176" s="290"/>
      <c r="C176" s="291"/>
      <c r="D176" s="291"/>
      <c r="E176" s="291"/>
      <c r="F176" s="291"/>
      <c r="G176" s="291"/>
      <c r="H176" s="291"/>
      <c r="I176" s="291"/>
      <c r="J176" s="292"/>
    </row>
    <row r="177" spans="1:10" ht="25.5" customHeight="1">
      <c r="A177" s="385"/>
      <c r="B177" s="386" t="s">
        <v>177</v>
      </c>
      <c r="C177" s="327" t="s">
        <v>11</v>
      </c>
      <c r="D177" s="224" t="s">
        <v>15</v>
      </c>
      <c r="E177" s="255" t="s">
        <v>178</v>
      </c>
      <c r="F177" s="226"/>
      <c r="G177" s="327" t="s">
        <v>11</v>
      </c>
      <c r="H177" s="227" t="s">
        <v>15</v>
      </c>
      <c r="I177" s="255" t="s">
        <v>179</v>
      </c>
      <c r="J177" s="256"/>
    </row>
    <row r="178" spans="1:10">
      <c r="A178" s="385"/>
      <c r="B178" s="387"/>
      <c r="C178" s="328"/>
      <c r="D178" s="229" t="s">
        <v>19</v>
      </c>
      <c r="E178" s="257" t="s">
        <v>180</v>
      </c>
      <c r="F178" s="231"/>
      <c r="G178" s="328"/>
      <c r="H178" s="232" t="s">
        <v>19</v>
      </c>
      <c r="I178" s="257" t="s">
        <v>181</v>
      </c>
      <c r="J178" s="258"/>
    </row>
    <row r="179" spans="1:10" ht="38.25" customHeight="1">
      <c r="A179" s="385"/>
      <c r="B179" s="387"/>
      <c r="C179" s="328"/>
      <c r="D179" s="229" t="s">
        <v>24</v>
      </c>
      <c r="E179" s="257" t="s">
        <v>182</v>
      </c>
      <c r="F179" s="231"/>
      <c r="G179" s="328"/>
      <c r="H179" s="232" t="s">
        <v>24</v>
      </c>
      <c r="I179" s="257" t="s">
        <v>183</v>
      </c>
      <c r="J179" s="258"/>
    </row>
    <row r="180" spans="1:10" ht="24">
      <c r="A180" s="385"/>
      <c r="B180" s="387"/>
      <c r="C180" s="328"/>
      <c r="D180" s="229" t="s">
        <v>36</v>
      </c>
      <c r="E180" s="257" t="s">
        <v>146</v>
      </c>
      <c r="F180" s="231"/>
      <c r="G180" s="328"/>
      <c r="H180" s="232" t="s">
        <v>36</v>
      </c>
      <c r="I180" s="257" t="s">
        <v>184</v>
      </c>
      <c r="J180" s="258"/>
    </row>
    <row r="181" spans="1:10" ht="23.5">
      <c r="A181" s="385"/>
      <c r="B181" s="387"/>
      <c r="C181" s="328"/>
      <c r="D181" s="332" t="s">
        <v>61</v>
      </c>
      <c r="E181" s="313" t="s">
        <v>150</v>
      </c>
      <c r="F181" s="338"/>
      <c r="G181" s="328"/>
      <c r="H181" s="232" t="s">
        <v>61</v>
      </c>
      <c r="I181" s="257" t="s">
        <v>185</v>
      </c>
      <c r="J181" s="258"/>
    </row>
    <row r="182" spans="1:10" ht="12">
      <c r="A182" s="385"/>
      <c r="B182" s="387"/>
      <c r="C182" s="328"/>
      <c r="D182" s="331"/>
      <c r="E182" s="314"/>
      <c r="F182" s="340"/>
      <c r="G182" s="328"/>
      <c r="H182" s="232" t="s">
        <v>80</v>
      </c>
      <c r="I182" s="257" t="s">
        <v>186</v>
      </c>
      <c r="J182" s="258"/>
    </row>
    <row r="183" spans="1:10" ht="23">
      <c r="A183" s="385"/>
      <c r="B183" s="387"/>
      <c r="C183" s="329" t="s">
        <v>14</v>
      </c>
      <c r="D183" s="229" t="s">
        <v>15</v>
      </c>
      <c r="E183" s="257" t="s">
        <v>187</v>
      </c>
      <c r="F183" s="231"/>
      <c r="G183" s="329" t="s">
        <v>14</v>
      </c>
      <c r="H183" s="232" t="s">
        <v>15</v>
      </c>
      <c r="I183" s="257" t="s">
        <v>179</v>
      </c>
      <c r="J183" s="258"/>
    </row>
    <row r="184" spans="1:10">
      <c r="A184" s="385"/>
      <c r="B184" s="387"/>
      <c r="C184" s="329"/>
      <c r="D184" s="229" t="s">
        <v>19</v>
      </c>
      <c r="E184" s="257" t="s">
        <v>180</v>
      </c>
      <c r="F184" s="231"/>
      <c r="G184" s="329"/>
      <c r="H184" s="232" t="s">
        <v>19</v>
      </c>
      <c r="I184" s="257" t="s">
        <v>181</v>
      </c>
      <c r="J184" s="258"/>
    </row>
    <row r="185" spans="1:10" ht="23">
      <c r="A185" s="385"/>
      <c r="B185" s="387"/>
      <c r="C185" s="329"/>
      <c r="D185" s="229" t="s">
        <v>24</v>
      </c>
      <c r="E185" s="257" t="s">
        <v>188</v>
      </c>
      <c r="F185" s="231"/>
      <c r="G185" s="329"/>
      <c r="H185" s="232" t="s">
        <v>24</v>
      </c>
      <c r="I185" s="257" t="s">
        <v>189</v>
      </c>
      <c r="J185" s="258"/>
    </row>
    <row r="186" spans="1:10" ht="24">
      <c r="A186" s="385"/>
      <c r="B186" s="387"/>
      <c r="C186" s="329"/>
      <c r="D186" s="229" t="s">
        <v>36</v>
      </c>
      <c r="E186" s="257" t="s">
        <v>154</v>
      </c>
      <c r="F186" s="231"/>
      <c r="G186" s="329"/>
      <c r="H186" s="232" t="s">
        <v>36</v>
      </c>
      <c r="I186" s="257" t="s">
        <v>190</v>
      </c>
      <c r="J186" s="258"/>
    </row>
    <row r="187" spans="1:10" ht="23.5">
      <c r="A187" s="385"/>
      <c r="B187" s="387"/>
      <c r="C187" s="329"/>
      <c r="D187" s="332" t="s">
        <v>61</v>
      </c>
      <c r="E187" s="313" t="s">
        <v>157</v>
      </c>
      <c r="F187" s="338"/>
      <c r="G187" s="329"/>
      <c r="H187" s="232" t="s">
        <v>61</v>
      </c>
      <c r="I187" s="257" t="s">
        <v>185</v>
      </c>
      <c r="J187" s="258"/>
    </row>
    <row r="188" spans="1:10">
      <c r="A188" s="385"/>
      <c r="B188" s="387"/>
      <c r="C188" s="329"/>
      <c r="D188" s="331"/>
      <c r="E188" s="314"/>
      <c r="F188" s="340"/>
      <c r="G188" s="329"/>
      <c r="H188" s="232" t="s">
        <v>80</v>
      </c>
      <c r="I188" s="257" t="s">
        <v>191</v>
      </c>
      <c r="J188" s="258"/>
    </row>
    <row r="189" spans="1:10" ht="34.5">
      <c r="A189" s="385"/>
      <c r="B189" s="387"/>
      <c r="C189" s="323" t="s">
        <v>17</v>
      </c>
      <c r="D189" s="229" t="s">
        <v>15</v>
      </c>
      <c r="E189" s="257" t="s">
        <v>192</v>
      </c>
      <c r="F189" s="231"/>
      <c r="G189" s="323" t="s">
        <v>17</v>
      </c>
      <c r="H189" s="232" t="s">
        <v>15</v>
      </c>
      <c r="I189" s="257" t="s">
        <v>193</v>
      </c>
      <c r="J189" s="258"/>
    </row>
    <row r="190" spans="1:10">
      <c r="A190" s="385"/>
      <c r="B190" s="387"/>
      <c r="C190" s="323"/>
      <c r="D190" s="229" t="s">
        <v>19</v>
      </c>
      <c r="E190" s="257" t="s">
        <v>180</v>
      </c>
      <c r="F190" s="231"/>
      <c r="G190" s="323"/>
      <c r="H190" s="232" t="s">
        <v>19</v>
      </c>
      <c r="I190" s="257" t="s">
        <v>181</v>
      </c>
      <c r="J190" s="258"/>
    </row>
    <row r="191" spans="1:10" ht="23">
      <c r="A191" s="385"/>
      <c r="B191" s="387"/>
      <c r="C191" s="323"/>
      <c r="D191" s="229" t="s">
        <v>24</v>
      </c>
      <c r="E191" s="257" t="s">
        <v>188</v>
      </c>
      <c r="F191" s="231"/>
      <c r="G191" s="323"/>
      <c r="H191" s="232" t="s">
        <v>24</v>
      </c>
      <c r="I191" s="257" t="s">
        <v>194</v>
      </c>
      <c r="J191" s="258"/>
    </row>
    <row r="192" spans="1:10" ht="24">
      <c r="A192" s="385"/>
      <c r="B192" s="387"/>
      <c r="C192" s="323"/>
      <c r="D192" s="229" t="s">
        <v>36</v>
      </c>
      <c r="E192" s="257" t="s">
        <v>159</v>
      </c>
      <c r="F192" s="231"/>
      <c r="G192" s="323"/>
      <c r="H192" s="232" t="s">
        <v>36</v>
      </c>
      <c r="I192" s="257" t="s">
        <v>190</v>
      </c>
      <c r="J192" s="258"/>
    </row>
    <row r="193" spans="1:10" ht="24">
      <c r="A193" s="385"/>
      <c r="B193" s="387"/>
      <c r="C193" s="323"/>
      <c r="D193" s="332" t="s">
        <v>61</v>
      </c>
      <c r="E193" s="313" t="s">
        <v>163</v>
      </c>
      <c r="F193" s="338"/>
      <c r="G193" s="323"/>
      <c r="H193" s="232" t="s">
        <v>61</v>
      </c>
      <c r="I193" s="257" t="s">
        <v>195</v>
      </c>
      <c r="J193" s="258"/>
    </row>
    <row r="194" spans="1:10">
      <c r="A194" s="385"/>
      <c r="B194" s="387"/>
      <c r="C194" s="323"/>
      <c r="D194" s="331"/>
      <c r="E194" s="314"/>
      <c r="F194" s="340"/>
      <c r="G194" s="323"/>
      <c r="H194" s="232" t="s">
        <v>80</v>
      </c>
      <c r="I194" s="257" t="s">
        <v>191</v>
      </c>
      <c r="J194" s="258"/>
    </row>
    <row r="195" spans="1:10" ht="34.5">
      <c r="A195" s="385"/>
      <c r="B195" s="387"/>
      <c r="C195" s="324" t="s">
        <v>22</v>
      </c>
      <c r="D195" s="229" t="s">
        <v>15</v>
      </c>
      <c r="E195" s="257" t="s">
        <v>196</v>
      </c>
      <c r="F195" s="231"/>
      <c r="G195" s="324" t="s">
        <v>22</v>
      </c>
      <c r="H195" s="232" t="s">
        <v>15</v>
      </c>
      <c r="I195" s="257" t="s">
        <v>193</v>
      </c>
      <c r="J195" s="258"/>
    </row>
    <row r="196" spans="1:10">
      <c r="A196" s="385"/>
      <c r="B196" s="387"/>
      <c r="C196" s="324"/>
      <c r="D196" s="229" t="s">
        <v>19</v>
      </c>
      <c r="E196" s="257" t="s">
        <v>180</v>
      </c>
      <c r="F196" s="231"/>
      <c r="G196" s="324"/>
      <c r="H196" s="232" t="s">
        <v>19</v>
      </c>
      <c r="I196" s="257" t="s">
        <v>181</v>
      </c>
      <c r="J196" s="258"/>
    </row>
    <row r="197" spans="1:10" ht="23">
      <c r="A197" s="385"/>
      <c r="B197" s="387"/>
      <c r="C197" s="324"/>
      <c r="D197" s="229" t="s">
        <v>24</v>
      </c>
      <c r="E197" s="257" t="s">
        <v>197</v>
      </c>
      <c r="F197" s="231"/>
      <c r="G197" s="324"/>
      <c r="H197" s="232" t="s">
        <v>24</v>
      </c>
      <c r="I197" s="257" t="s">
        <v>194</v>
      </c>
      <c r="J197" s="258"/>
    </row>
    <row r="198" spans="1:10" ht="24">
      <c r="A198" s="385"/>
      <c r="B198" s="387"/>
      <c r="C198" s="324"/>
      <c r="D198" s="229" t="s">
        <v>36</v>
      </c>
      <c r="E198" s="257" t="s">
        <v>165</v>
      </c>
      <c r="F198" s="231"/>
      <c r="G198" s="324"/>
      <c r="H198" s="232" t="s">
        <v>36</v>
      </c>
      <c r="I198" s="257" t="s">
        <v>190</v>
      </c>
      <c r="J198" s="258"/>
    </row>
    <row r="199" spans="1:10" ht="24">
      <c r="A199" s="385"/>
      <c r="B199" s="387"/>
      <c r="C199" s="324"/>
      <c r="D199" s="332" t="s">
        <v>61</v>
      </c>
      <c r="E199" s="313" t="s">
        <v>168</v>
      </c>
      <c r="F199" s="338"/>
      <c r="G199" s="324"/>
      <c r="H199" s="232" t="s">
        <v>61</v>
      </c>
      <c r="I199" s="257" t="s">
        <v>195</v>
      </c>
      <c r="J199" s="258"/>
    </row>
    <row r="200" spans="1:10">
      <c r="A200" s="385"/>
      <c r="B200" s="387"/>
      <c r="C200" s="324"/>
      <c r="D200" s="331"/>
      <c r="E200" s="314"/>
      <c r="F200" s="340"/>
      <c r="G200" s="324"/>
      <c r="H200" s="232" t="s">
        <v>80</v>
      </c>
      <c r="I200" s="257" t="s">
        <v>191</v>
      </c>
      <c r="J200" s="258"/>
    </row>
    <row r="201" spans="1:10" ht="34.5">
      <c r="A201" s="385"/>
      <c r="B201" s="387"/>
      <c r="C201" s="325" t="s">
        <v>26</v>
      </c>
      <c r="D201" s="229" t="s">
        <v>15</v>
      </c>
      <c r="E201" s="257" t="s">
        <v>196</v>
      </c>
      <c r="F201" s="231"/>
      <c r="G201" s="325" t="s">
        <v>26</v>
      </c>
      <c r="H201" s="232" t="s">
        <v>15</v>
      </c>
      <c r="I201" s="257" t="s">
        <v>193</v>
      </c>
      <c r="J201" s="258"/>
    </row>
    <row r="202" spans="1:10" ht="23">
      <c r="A202" s="385"/>
      <c r="B202" s="387"/>
      <c r="C202" s="325"/>
      <c r="D202" s="229" t="s">
        <v>19</v>
      </c>
      <c r="E202" s="257" t="s">
        <v>198</v>
      </c>
      <c r="F202" s="231"/>
      <c r="G202" s="325"/>
      <c r="H202" s="232" t="s">
        <v>19</v>
      </c>
      <c r="I202" s="257" t="s">
        <v>199</v>
      </c>
      <c r="J202" s="258"/>
    </row>
    <row r="203" spans="1:10" ht="23">
      <c r="A203" s="385"/>
      <c r="B203" s="387"/>
      <c r="C203" s="325"/>
      <c r="D203" s="229" t="s">
        <v>24</v>
      </c>
      <c r="E203" s="257" t="s">
        <v>200</v>
      </c>
      <c r="F203" s="231"/>
      <c r="G203" s="325"/>
      <c r="H203" s="232" t="s">
        <v>24</v>
      </c>
      <c r="I203" s="257" t="s">
        <v>194</v>
      </c>
      <c r="J203" s="258"/>
    </row>
    <row r="204" spans="1:10" ht="24">
      <c r="A204" s="385"/>
      <c r="B204" s="387"/>
      <c r="C204" s="325"/>
      <c r="D204" s="229" t="s">
        <v>36</v>
      </c>
      <c r="E204" s="257" t="s">
        <v>165</v>
      </c>
      <c r="F204" s="231"/>
      <c r="G204" s="325"/>
      <c r="H204" s="232" t="s">
        <v>36</v>
      </c>
      <c r="I204" s="257" t="s">
        <v>201</v>
      </c>
      <c r="J204" s="258"/>
    </row>
    <row r="205" spans="1:10" ht="24">
      <c r="A205" s="385"/>
      <c r="B205" s="387"/>
      <c r="C205" s="325"/>
      <c r="D205" s="332" t="s">
        <v>61</v>
      </c>
      <c r="E205" s="313" t="s">
        <v>168</v>
      </c>
      <c r="F205" s="338"/>
      <c r="G205" s="325"/>
      <c r="H205" s="232" t="s">
        <v>61</v>
      </c>
      <c r="I205" s="257" t="s">
        <v>202</v>
      </c>
      <c r="J205" s="258"/>
    </row>
    <row r="206" spans="1:10">
      <c r="A206" s="385"/>
      <c r="B206" s="388"/>
      <c r="C206" s="326"/>
      <c r="D206" s="334"/>
      <c r="E206" s="316"/>
      <c r="F206" s="342"/>
      <c r="G206" s="326"/>
      <c r="H206" s="236" t="s">
        <v>80</v>
      </c>
      <c r="I206" s="259" t="s">
        <v>191</v>
      </c>
      <c r="J206" s="262"/>
    </row>
    <row r="207" spans="1:10" ht="12.75" customHeight="1">
      <c r="A207" s="385"/>
      <c r="B207" s="287" t="s">
        <v>3</v>
      </c>
      <c r="C207" s="288"/>
      <c r="D207" s="288"/>
      <c r="E207" s="288"/>
      <c r="F207" s="288"/>
      <c r="G207" s="288"/>
      <c r="H207" s="288"/>
      <c r="I207" s="288"/>
      <c r="J207" s="289"/>
    </row>
    <row r="208" spans="1:10">
      <c r="A208" s="385"/>
      <c r="B208" s="290"/>
      <c r="C208" s="291"/>
      <c r="D208" s="291"/>
      <c r="E208" s="291"/>
      <c r="F208" s="291"/>
      <c r="G208" s="291"/>
      <c r="H208" s="291"/>
      <c r="I208" s="291"/>
      <c r="J208" s="292"/>
    </row>
    <row r="209" spans="1:10" ht="23">
      <c r="A209" s="385"/>
      <c r="B209" s="386" t="s">
        <v>203</v>
      </c>
      <c r="C209" s="327" t="s">
        <v>11</v>
      </c>
      <c r="D209" s="224" t="s">
        <v>15</v>
      </c>
      <c r="E209" s="255" t="s">
        <v>204</v>
      </c>
      <c r="F209" s="226"/>
      <c r="G209" s="327" t="s">
        <v>11</v>
      </c>
      <c r="H209" s="227" t="s">
        <v>15</v>
      </c>
      <c r="I209" s="255" t="s">
        <v>205</v>
      </c>
      <c r="J209" s="256"/>
    </row>
    <row r="210" spans="1:10">
      <c r="A210" s="385"/>
      <c r="B210" s="387"/>
      <c r="C210" s="328"/>
      <c r="D210" s="229" t="s">
        <v>19</v>
      </c>
      <c r="E210" s="257" t="s">
        <v>206</v>
      </c>
      <c r="F210" s="231"/>
      <c r="G210" s="328"/>
      <c r="H210" s="232" t="s">
        <v>19</v>
      </c>
      <c r="I210" s="257" t="s">
        <v>207</v>
      </c>
      <c r="J210" s="258"/>
    </row>
    <row r="211" spans="1:10">
      <c r="A211" s="385"/>
      <c r="B211" s="387"/>
      <c r="C211" s="328"/>
      <c r="D211" s="229" t="s">
        <v>24</v>
      </c>
      <c r="E211" s="257" t="s">
        <v>208</v>
      </c>
      <c r="F211" s="231"/>
      <c r="G211" s="328"/>
      <c r="H211" s="232" t="s">
        <v>24</v>
      </c>
      <c r="I211" s="257" t="s">
        <v>56</v>
      </c>
      <c r="J211" s="258"/>
    </row>
    <row r="212" spans="1:10">
      <c r="A212" s="385"/>
      <c r="B212" s="387"/>
      <c r="C212" s="328"/>
      <c r="D212" s="229" t="s">
        <v>36</v>
      </c>
      <c r="E212" s="257" t="s">
        <v>209</v>
      </c>
      <c r="F212" s="231"/>
      <c r="G212" s="328"/>
      <c r="H212" s="232" t="s">
        <v>36</v>
      </c>
      <c r="I212" s="257" t="s">
        <v>210</v>
      </c>
      <c r="J212" s="258"/>
    </row>
    <row r="213" spans="1:10" ht="25.5" customHeight="1">
      <c r="A213" s="385"/>
      <c r="B213" s="387"/>
      <c r="C213" s="328"/>
      <c r="D213" s="332" t="s">
        <v>61</v>
      </c>
      <c r="E213" s="313" t="s">
        <v>211</v>
      </c>
      <c r="F213" s="338"/>
      <c r="G213" s="328"/>
      <c r="H213" s="332" t="s">
        <v>61</v>
      </c>
      <c r="I213" s="313" t="s">
        <v>212</v>
      </c>
      <c r="J213" s="317"/>
    </row>
    <row r="214" spans="1:10">
      <c r="A214" s="385"/>
      <c r="B214" s="387"/>
      <c r="C214" s="328"/>
      <c r="D214" s="331"/>
      <c r="E214" s="314"/>
      <c r="F214" s="340"/>
      <c r="G214" s="328"/>
      <c r="H214" s="331"/>
      <c r="I214" s="314"/>
      <c r="J214" s="318"/>
    </row>
    <row r="215" spans="1:10" ht="23">
      <c r="A215" s="385"/>
      <c r="B215" s="387"/>
      <c r="C215" s="329" t="s">
        <v>14</v>
      </c>
      <c r="D215" s="229" t="s">
        <v>15</v>
      </c>
      <c r="E215" s="257" t="s">
        <v>213</v>
      </c>
      <c r="F215" s="231"/>
      <c r="G215" s="329" t="s">
        <v>14</v>
      </c>
      <c r="H215" s="232" t="s">
        <v>15</v>
      </c>
      <c r="I215" s="257" t="s">
        <v>205</v>
      </c>
      <c r="J215" s="258"/>
    </row>
    <row r="216" spans="1:10" ht="23.5">
      <c r="A216" s="385"/>
      <c r="B216" s="387"/>
      <c r="C216" s="329"/>
      <c r="D216" s="229" t="s">
        <v>19</v>
      </c>
      <c r="E216" s="257" t="s">
        <v>214</v>
      </c>
      <c r="F216" s="231"/>
      <c r="G216" s="329"/>
      <c r="H216" s="232" t="s">
        <v>19</v>
      </c>
      <c r="I216" s="257" t="s">
        <v>207</v>
      </c>
      <c r="J216" s="258"/>
    </row>
    <row r="217" spans="1:10">
      <c r="A217" s="385"/>
      <c r="B217" s="387"/>
      <c r="C217" s="329"/>
      <c r="D217" s="229" t="s">
        <v>24</v>
      </c>
      <c r="E217" s="257" t="s">
        <v>215</v>
      </c>
      <c r="F217" s="231"/>
      <c r="G217" s="329"/>
      <c r="H217" s="232" t="s">
        <v>24</v>
      </c>
      <c r="I217" s="257" t="s">
        <v>56</v>
      </c>
      <c r="J217" s="258"/>
    </row>
    <row r="218" spans="1:10">
      <c r="A218" s="385"/>
      <c r="B218" s="387"/>
      <c r="C218" s="329"/>
      <c r="D218" s="229" t="s">
        <v>36</v>
      </c>
      <c r="E218" s="257" t="s">
        <v>216</v>
      </c>
      <c r="F218" s="231"/>
      <c r="G218" s="329"/>
      <c r="H218" s="232" t="s">
        <v>36</v>
      </c>
      <c r="I218" s="257" t="s">
        <v>217</v>
      </c>
      <c r="J218" s="258"/>
    </row>
    <row r="219" spans="1:10" ht="24">
      <c r="A219" s="385"/>
      <c r="B219" s="387"/>
      <c r="C219" s="329"/>
      <c r="D219" s="229" t="s">
        <v>61</v>
      </c>
      <c r="E219" s="257" t="s">
        <v>218</v>
      </c>
      <c r="F219" s="231"/>
      <c r="G219" s="329"/>
      <c r="H219" s="232" t="s">
        <v>61</v>
      </c>
      <c r="I219" s="230" t="s">
        <v>212</v>
      </c>
      <c r="J219" s="258"/>
    </row>
    <row r="220" spans="1:10" ht="23">
      <c r="A220" s="385"/>
      <c r="B220" s="387"/>
      <c r="C220" s="323" t="s">
        <v>17</v>
      </c>
      <c r="D220" s="229" t="s">
        <v>15</v>
      </c>
      <c r="E220" s="257" t="s">
        <v>219</v>
      </c>
      <c r="F220" s="231"/>
      <c r="G220" s="323" t="s">
        <v>17</v>
      </c>
      <c r="H220" s="232" t="s">
        <v>15</v>
      </c>
      <c r="I220" s="257" t="s">
        <v>220</v>
      </c>
      <c r="J220" s="258"/>
    </row>
    <row r="221" spans="1:10" ht="23.5">
      <c r="A221" s="385"/>
      <c r="B221" s="387"/>
      <c r="C221" s="323"/>
      <c r="D221" s="229" t="s">
        <v>19</v>
      </c>
      <c r="E221" s="257" t="s">
        <v>221</v>
      </c>
      <c r="F221" s="231"/>
      <c r="G221" s="323"/>
      <c r="H221" s="232" t="s">
        <v>19</v>
      </c>
      <c r="I221" s="257" t="s">
        <v>207</v>
      </c>
      <c r="J221" s="258"/>
    </row>
    <row r="222" spans="1:10" ht="12">
      <c r="A222" s="385"/>
      <c r="B222" s="387"/>
      <c r="C222" s="323"/>
      <c r="D222" s="229" t="s">
        <v>24</v>
      </c>
      <c r="E222" s="257" t="s">
        <v>222</v>
      </c>
      <c r="F222" s="231"/>
      <c r="G222" s="323"/>
      <c r="H222" s="232" t="s">
        <v>24</v>
      </c>
      <c r="I222" s="257" t="s">
        <v>56</v>
      </c>
      <c r="J222" s="263"/>
    </row>
    <row r="223" spans="1:10">
      <c r="A223" s="385"/>
      <c r="B223" s="387"/>
      <c r="C223" s="323"/>
      <c r="D223" s="229" t="s">
        <v>36</v>
      </c>
      <c r="E223" s="257" t="s">
        <v>223</v>
      </c>
      <c r="F223" s="231"/>
      <c r="G223" s="323"/>
      <c r="H223" s="232" t="s">
        <v>36</v>
      </c>
      <c r="I223" s="257" t="s">
        <v>224</v>
      </c>
      <c r="J223" s="258"/>
    </row>
    <row r="224" spans="1:10" ht="24">
      <c r="A224" s="385"/>
      <c r="B224" s="387"/>
      <c r="C224" s="323"/>
      <c r="D224" s="229" t="s">
        <v>61</v>
      </c>
      <c r="E224" s="257" t="s">
        <v>218</v>
      </c>
      <c r="F224" s="231"/>
      <c r="G224" s="323"/>
      <c r="H224" s="232" t="s">
        <v>61</v>
      </c>
      <c r="I224" s="257" t="s">
        <v>212</v>
      </c>
      <c r="J224" s="258"/>
    </row>
    <row r="225" spans="1:10" ht="34.5">
      <c r="A225" s="385"/>
      <c r="B225" s="387"/>
      <c r="C225" s="324" t="s">
        <v>22</v>
      </c>
      <c r="D225" s="229" t="s">
        <v>15</v>
      </c>
      <c r="E225" s="257" t="s">
        <v>225</v>
      </c>
      <c r="F225" s="231"/>
      <c r="G225" s="324" t="s">
        <v>22</v>
      </c>
      <c r="H225" s="232" t="s">
        <v>15</v>
      </c>
      <c r="I225" s="257" t="s">
        <v>220</v>
      </c>
      <c r="J225" s="258"/>
    </row>
    <row r="226" spans="1:10" ht="23.5">
      <c r="A226" s="385"/>
      <c r="B226" s="387"/>
      <c r="C226" s="324"/>
      <c r="D226" s="229" t="s">
        <v>19</v>
      </c>
      <c r="E226" s="257" t="s">
        <v>226</v>
      </c>
      <c r="F226" s="231"/>
      <c r="G226" s="324"/>
      <c r="H226" s="232" t="s">
        <v>19</v>
      </c>
      <c r="I226" s="257" t="s">
        <v>227</v>
      </c>
      <c r="J226" s="258"/>
    </row>
    <row r="227" spans="1:10" ht="23">
      <c r="A227" s="385"/>
      <c r="B227" s="387"/>
      <c r="C227" s="324"/>
      <c r="D227" s="229" t="s">
        <v>24</v>
      </c>
      <c r="E227" s="257" t="s">
        <v>228</v>
      </c>
      <c r="F227" s="231"/>
      <c r="G227" s="324"/>
      <c r="H227" s="232" t="s">
        <v>24</v>
      </c>
      <c r="I227" s="257" t="s">
        <v>229</v>
      </c>
      <c r="J227" s="263"/>
    </row>
    <row r="228" spans="1:10">
      <c r="A228" s="385"/>
      <c r="B228" s="387"/>
      <c r="C228" s="324"/>
      <c r="D228" s="229" t="s">
        <v>36</v>
      </c>
      <c r="E228" s="257" t="s">
        <v>223</v>
      </c>
      <c r="F228" s="231"/>
      <c r="G228" s="324"/>
      <c r="H228" s="232" t="s">
        <v>36</v>
      </c>
      <c r="I228" s="257" t="s">
        <v>230</v>
      </c>
      <c r="J228" s="258"/>
    </row>
    <row r="229" spans="1:10" ht="24">
      <c r="A229" s="385"/>
      <c r="B229" s="387"/>
      <c r="C229" s="324"/>
      <c r="D229" s="229" t="s">
        <v>61</v>
      </c>
      <c r="E229" s="257" t="s">
        <v>231</v>
      </c>
      <c r="F229" s="231"/>
      <c r="G229" s="324"/>
      <c r="H229" s="232" t="s">
        <v>61</v>
      </c>
      <c r="I229" s="257" t="s">
        <v>232</v>
      </c>
      <c r="J229" s="258"/>
    </row>
    <row r="230" spans="1:10" ht="34.5">
      <c r="A230" s="385"/>
      <c r="B230" s="387"/>
      <c r="C230" s="325" t="s">
        <v>26</v>
      </c>
      <c r="D230" s="229" t="s">
        <v>15</v>
      </c>
      <c r="E230" s="257" t="s">
        <v>233</v>
      </c>
      <c r="F230" s="231"/>
      <c r="G230" s="325" t="s">
        <v>26</v>
      </c>
      <c r="H230" s="232" t="s">
        <v>15</v>
      </c>
      <c r="I230" s="257" t="s">
        <v>234</v>
      </c>
      <c r="J230" s="258"/>
    </row>
    <row r="231" spans="1:10" ht="23.5">
      <c r="A231" s="385"/>
      <c r="B231" s="387"/>
      <c r="C231" s="325"/>
      <c r="D231" s="229" t="s">
        <v>19</v>
      </c>
      <c r="E231" s="257" t="s">
        <v>235</v>
      </c>
      <c r="F231" s="231"/>
      <c r="G231" s="325"/>
      <c r="H231" s="332" t="s">
        <v>19</v>
      </c>
      <c r="I231" s="313" t="s">
        <v>236</v>
      </c>
      <c r="J231" s="317"/>
    </row>
    <row r="232" spans="1:10">
      <c r="A232" s="385"/>
      <c r="B232" s="387"/>
      <c r="C232" s="325"/>
      <c r="D232" s="229" t="s">
        <v>24</v>
      </c>
      <c r="E232" s="257" t="s">
        <v>237</v>
      </c>
      <c r="F232" s="231"/>
      <c r="G232" s="325"/>
      <c r="H232" s="333"/>
      <c r="I232" s="315"/>
      <c r="J232" s="319"/>
    </row>
    <row r="233" spans="1:10">
      <c r="A233" s="385"/>
      <c r="B233" s="387"/>
      <c r="C233" s="325"/>
      <c r="D233" s="229" t="s">
        <v>36</v>
      </c>
      <c r="E233" s="257" t="s">
        <v>223</v>
      </c>
      <c r="F233" s="231"/>
      <c r="G233" s="325"/>
      <c r="H233" s="331"/>
      <c r="I233" s="314"/>
      <c r="J233" s="318"/>
    </row>
    <row r="234" spans="1:10" ht="24">
      <c r="A234" s="385"/>
      <c r="B234" s="388"/>
      <c r="C234" s="326"/>
      <c r="D234" s="233" t="s">
        <v>61</v>
      </c>
      <c r="E234" s="259" t="s">
        <v>231</v>
      </c>
      <c r="F234" s="235"/>
      <c r="G234" s="326"/>
      <c r="H234" s="236" t="s">
        <v>24</v>
      </c>
      <c r="I234" s="259" t="s">
        <v>232</v>
      </c>
      <c r="J234" s="262"/>
    </row>
    <row r="235" spans="1:10" ht="12.75" customHeight="1">
      <c r="A235" s="385"/>
      <c r="B235" s="287" t="s">
        <v>3</v>
      </c>
      <c r="C235" s="288"/>
      <c r="D235" s="288"/>
      <c r="E235" s="288"/>
      <c r="F235" s="288"/>
      <c r="G235" s="288"/>
      <c r="H235" s="288"/>
      <c r="I235" s="288"/>
      <c r="J235" s="289"/>
    </row>
    <row r="236" spans="1:10" ht="24.75" customHeight="1">
      <c r="A236" s="385"/>
      <c r="B236" s="290"/>
      <c r="C236" s="291"/>
      <c r="D236" s="291"/>
      <c r="E236" s="291"/>
      <c r="F236" s="291"/>
      <c r="G236" s="291"/>
      <c r="H236" s="291"/>
      <c r="I236" s="291"/>
      <c r="J236" s="292"/>
    </row>
    <row r="237" spans="1:10" ht="23.5">
      <c r="A237" s="385"/>
      <c r="B237" s="386" t="s">
        <v>238</v>
      </c>
      <c r="C237" s="327" t="s">
        <v>11</v>
      </c>
      <c r="D237" s="330" t="s">
        <v>15</v>
      </c>
      <c r="E237" s="354" t="s">
        <v>146</v>
      </c>
      <c r="F237" s="345"/>
      <c r="G237" s="327" t="s">
        <v>11</v>
      </c>
      <c r="H237" s="227" t="s">
        <v>15</v>
      </c>
      <c r="I237" s="255" t="s">
        <v>148</v>
      </c>
      <c r="J237" s="256"/>
    </row>
    <row r="238" spans="1:10" ht="25.5" customHeight="1">
      <c r="A238" s="385"/>
      <c r="B238" s="387"/>
      <c r="C238" s="328"/>
      <c r="D238" s="331"/>
      <c r="E238" s="314"/>
      <c r="F238" s="340"/>
      <c r="G238" s="328"/>
      <c r="H238" s="232" t="s">
        <v>19</v>
      </c>
      <c r="I238" s="257" t="s">
        <v>149</v>
      </c>
      <c r="J238" s="258"/>
    </row>
    <row r="239" spans="1:10" ht="26.25" customHeight="1">
      <c r="A239" s="385"/>
      <c r="B239" s="387"/>
      <c r="C239" s="328"/>
      <c r="D239" s="332" t="s">
        <v>19</v>
      </c>
      <c r="E239" s="313" t="s">
        <v>150</v>
      </c>
      <c r="F239" s="338"/>
      <c r="G239" s="328"/>
      <c r="H239" s="232" t="s">
        <v>24</v>
      </c>
      <c r="I239" s="257" t="s">
        <v>239</v>
      </c>
      <c r="J239" s="258"/>
    </row>
    <row r="240" spans="1:10">
      <c r="A240" s="385"/>
      <c r="B240" s="387"/>
      <c r="C240" s="328"/>
      <c r="D240" s="331"/>
      <c r="E240" s="314"/>
      <c r="F240" s="340"/>
      <c r="G240" s="328"/>
      <c r="H240" s="232" t="s">
        <v>36</v>
      </c>
      <c r="I240" s="257" t="s">
        <v>240</v>
      </c>
      <c r="J240" s="258"/>
    </row>
    <row r="241" spans="1:10" ht="23.5">
      <c r="A241" s="385"/>
      <c r="B241" s="387"/>
      <c r="C241" s="329" t="s">
        <v>14</v>
      </c>
      <c r="D241" s="332" t="s">
        <v>15</v>
      </c>
      <c r="E241" s="313" t="s">
        <v>154</v>
      </c>
      <c r="F241" s="338"/>
      <c r="G241" s="329" t="s">
        <v>14</v>
      </c>
      <c r="H241" s="232" t="s">
        <v>15</v>
      </c>
      <c r="I241" s="257" t="s">
        <v>148</v>
      </c>
      <c r="J241" s="258"/>
    </row>
    <row r="242" spans="1:10">
      <c r="A242" s="385"/>
      <c r="B242" s="387"/>
      <c r="C242" s="329"/>
      <c r="D242" s="331"/>
      <c r="E242" s="314"/>
      <c r="F242" s="340"/>
      <c r="G242" s="329"/>
      <c r="H242" s="232" t="s">
        <v>19</v>
      </c>
      <c r="I242" s="257" t="s">
        <v>241</v>
      </c>
      <c r="J242" s="258"/>
    </row>
    <row r="243" spans="1:10" ht="24">
      <c r="A243" s="385"/>
      <c r="B243" s="387"/>
      <c r="C243" s="329"/>
      <c r="D243" s="332" t="s">
        <v>19</v>
      </c>
      <c r="E243" s="313" t="s">
        <v>157</v>
      </c>
      <c r="F243" s="338"/>
      <c r="G243" s="329"/>
      <c r="H243" s="232" t="s">
        <v>24</v>
      </c>
      <c r="I243" s="257" t="s">
        <v>239</v>
      </c>
      <c r="J243" s="258"/>
    </row>
    <row r="244" spans="1:10" ht="23.5">
      <c r="A244" s="385"/>
      <c r="B244" s="387"/>
      <c r="C244" s="329"/>
      <c r="D244" s="331"/>
      <c r="E244" s="314"/>
      <c r="F244" s="340"/>
      <c r="G244" s="329"/>
      <c r="H244" s="232" t="s">
        <v>36</v>
      </c>
      <c r="I244" s="257" t="s">
        <v>242</v>
      </c>
      <c r="J244" s="258"/>
    </row>
    <row r="245" spans="1:10" ht="25.5" customHeight="1">
      <c r="A245" s="385"/>
      <c r="B245" s="387"/>
      <c r="C245" s="323" t="s">
        <v>17</v>
      </c>
      <c r="D245" s="332" t="s">
        <v>15</v>
      </c>
      <c r="E245" s="313" t="s">
        <v>159</v>
      </c>
      <c r="F245" s="338"/>
      <c r="G245" s="323" t="s">
        <v>17</v>
      </c>
      <c r="H245" s="232" t="s">
        <v>15</v>
      </c>
      <c r="I245" s="257" t="s">
        <v>166</v>
      </c>
      <c r="J245" s="258"/>
    </row>
    <row r="246" spans="1:10" ht="12">
      <c r="A246" s="385"/>
      <c r="B246" s="387"/>
      <c r="C246" s="323"/>
      <c r="D246" s="331"/>
      <c r="E246" s="314"/>
      <c r="F246" s="340"/>
      <c r="G246" s="323"/>
      <c r="H246" s="232" t="s">
        <v>19</v>
      </c>
      <c r="I246" s="257" t="s">
        <v>243</v>
      </c>
      <c r="J246" s="258"/>
    </row>
    <row r="247" spans="1:10" ht="24">
      <c r="A247" s="385"/>
      <c r="B247" s="387"/>
      <c r="C247" s="323"/>
      <c r="D247" s="332" t="s">
        <v>19</v>
      </c>
      <c r="E247" s="313" t="s">
        <v>163</v>
      </c>
      <c r="F247" s="338"/>
      <c r="G247" s="323"/>
      <c r="H247" s="232" t="s">
        <v>24</v>
      </c>
      <c r="I247" s="257" t="s">
        <v>244</v>
      </c>
      <c r="J247" s="258"/>
    </row>
    <row r="248" spans="1:10" ht="25.5" customHeight="1">
      <c r="A248" s="385"/>
      <c r="B248" s="387"/>
      <c r="C248" s="323"/>
      <c r="D248" s="331"/>
      <c r="E248" s="314"/>
      <c r="F248" s="340"/>
      <c r="G248" s="323"/>
      <c r="H248" s="232" t="s">
        <v>36</v>
      </c>
      <c r="I248" s="257" t="s">
        <v>245</v>
      </c>
      <c r="J248" s="258"/>
    </row>
    <row r="249" spans="1:10" ht="25.5" customHeight="1">
      <c r="A249" s="385"/>
      <c r="B249" s="387"/>
      <c r="C249" s="324" t="s">
        <v>22</v>
      </c>
      <c r="D249" s="332" t="s">
        <v>15</v>
      </c>
      <c r="E249" s="313" t="s">
        <v>165</v>
      </c>
      <c r="F249" s="338"/>
      <c r="G249" s="324" t="s">
        <v>22</v>
      </c>
      <c r="H249" s="232" t="s">
        <v>15</v>
      </c>
      <c r="I249" s="257" t="s">
        <v>166</v>
      </c>
      <c r="J249" s="258"/>
    </row>
    <row r="250" spans="1:10" ht="25.5" customHeight="1">
      <c r="A250" s="385"/>
      <c r="B250" s="387"/>
      <c r="C250" s="324"/>
      <c r="D250" s="331"/>
      <c r="E250" s="314"/>
      <c r="F250" s="340"/>
      <c r="G250" s="324"/>
      <c r="H250" s="232" t="s">
        <v>19</v>
      </c>
      <c r="I250" s="257" t="s">
        <v>167</v>
      </c>
      <c r="J250" s="258"/>
    </row>
    <row r="251" spans="1:10" ht="24">
      <c r="A251" s="385"/>
      <c r="B251" s="387"/>
      <c r="C251" s="324"/>
      <c r="D251" s="332" t="s">
        <v>19</v>
      </c>
      <c r="E251" s="313" t="s">
        <v>163</v>
      </c>
      <c r="F251" s="338"/>
      <c r="G251" s="324"/>
      <c r="H251" s="232" t="s">
        <v>24</v>
      </c>
      <c r="I251" s="257" t="s">
        <v>246</v>
      </c>
      <c r="J251" s="258"/>
    </row>
    <row r="252" spans="1:10" ht="23.5">
      <c r="A252" s="385"/>
      <c r="B252" s="387"/>
      <c r="C252" s="324"/>
      <c r="D252" s="331"/>
      <c r="E252" s="314"/>
      <c r="F252" s="340"/>
      <c r="G252" s="324"/>
      <c r="H252" s="232" t="s">
        <v>36</v>
      </c>
      <c r="I252" s="257" t="s">
        <v>247</v>
      </c>
      <c r="J252" s="258"/>
    </row>
    <row r="253" spans="1:10" ht="12">
      <c r="A253" s="385"/>
      <c r="B253" s="387"/>
      <c r="C253" s="325" t="s">
        <v>26</v>
      </c>
      <c r="D253" s="332" t="s">
        <v>15</v>
      </c>
      <c r="E253" s="313" t="s">
        <v>170</v>
      </c>
      <c r="F253" s="338"/>
      <c r="G253" s="325" t="s">
        <v>26</v>
      </c>
      <c r="H253" s="232" t="s">
        <v>15</v>
      </c>
      <c r="I253" s="257" t="s">
        <v>172</v>
      </c>
      <c r="J253" s="258"/>
    </row>
    <row r="254" spans="1:10" ht="12">
      <c r="A254" s="385"/>
      <c r="B254" s="387"/>
      <c r="C254" s="325"/>
      <c r="D254" s="331"/>
      <c r="E254" s="314"/>
      <c r="F254" s="340"/>
      <c r="G254" s="325"/>
      <c r="H254" s="232" t="s">
        <v>19</v>
      </c>
      <c r="I254" s="257" t="s">
        <v>248</v>
      </c>
      <c r="J254" s="258"/>
    </row>
    <row r="255" spans="1:10" ht="24">
      <c r="A255" s="385"/>
      <c r="B255" s="387"/>
      <c r="C255" s="325"/>
      <c r="D255" s="332" t="s">
        <v>19</v>
      </c>
      <c r="E255" s="313" t="s">
        <v>174</v>
      </c>
      <c r="F255" s="338"/>
      <c r="G255" s="325"/>
      <c r="H255" s="232" t="s">
        <v>24</v>
      </c>
      <c r="I255" s="257" t="s">
        <v>175</v>
      </c>
      <c r="J255" s="258"/>
    </row>
    <row r="256" spans="1:10" ht="24">
      <c r="A256" s="385"/>
      <c r="B256" s="388"/>
      <c r="C256" s="326"/>
      <c r="D256" s="334"/>
      <c r="E256" s="316"/>
      <c r="F256" s="342"/>
      <c r="G256" s="326"/>
      <c r="H256" s="236" t="s">
        <v>36</v>
      </c>
      <c r="I256" s="259" t="s">
        <v>249</v>
      </c>
      <c r="J256" s="262"/>
    </row>
    <row r="257" spans="1:10" ht="12.75" customHeight="1">
      <c r="A257" s="385"/>
      <c r="B257" s="287" t="s">
        <v>3</v>
      </c>
      <c r="C257" s="288"/>
      <c r="D257" s="288"/>
      <c r="E257" s="288"/>
      <c r="F257" s="288"/>
      <c r="G257" s="288"/>
      <c r="H257" s="288"/>
      <c r="I257" s="288"/>
      <c r="J257" s="289"/>
    </row>
    <row r="258" spans="1:10" ht="25.5" customHeight="1">
      <c r="A258" s="385"/>
      <c r="B258" s="290"/>
      <c r="C258" s="291"/>
      <c r="D258" s="291"/>
      <c r="E258" s="291"/>
      <c r="F258" s="291"/>
      <c r="G258" s="291"/>
      <c r="H258" s="291"/>
      <c r="I258" s="291"/>
      <c r="J258" s="292"/>
    </row>
    <row r="259" spans="1:10" ht="25.5" customHeight="1">
      <c r="A259" s="385"/>
      <c r="B259" s="386" t="s">
        <v>250</v>
      </c>
      <c r="C259" s="327" t="s">
        <v>11</v>
      </c>
      <c r="D259" s="330" t="s">
        <v>15</v>
      </c>
      <c r="E259" s="354" t="s">
        <v>146</v>
      </c>
      <c r="F259" s="345"/>
      <c r="G259" s="327" t="s">
        <v>11</v>
      </c>
      <c r="H259" s="227" t="s">
        <v>15</v>
      </c>
      <c r="I259" s="255" t="s">
        <v>251</v>
      </c>
      <c r="J259" s="256"/>
    </row>
    <row r="260" spans="1:10" ht="25.5" customHeight="1">
      <c r="A260" s="385"/>
      <c r="B260" s="387"/>
      <c r="C260" s="328"/>
      <c r="D260" s="333"/>
      <c r="E260" s="315"/>
      <c r="F260" s="339"/>
      <c r="G260" s="328"/>
      <c r="H260" s="232" t="s">
        <v>19</v>
      </c>
      <c r="I260" s="257" t="s">
        <v>56</v>
      </c>
      <c r="J260" s="258"/>
    </row>
    <row r="261" spans="1:10" ht="23">
      <c r="A261" s="385"/>
      <c r="B261" s="387"/>
      <c r="C261" s="328"/>
      <c r="D261" s="333"/>
      <c r="E261" s="315"/>
      <c r="F261" s="339"/>
      <c r="G261" s="328"/>
      <c r="H261" s="232" t="s">
        <v>24</v>
      </c>
      <c r="I261" s="257" t="s">
        <v>252</v>
      </c>
      <c r="J261" s="258"/>
    </row>
    <row r="262" spans="1:10" ht="23">
      <c r="A262" s="385"/>
      <c r="B262" s="387"/>
      <c r="C262" s="328"/>
      <c r="D262" s="333"/>
      <c r="E262" s="315"/>
      <c r="F262" s="339"/>
      <c r="G262" s="328"/>
      <c r="H262" s="232" t="s">
        <v>36</v>
      </c>
      <c r="I262" s="257" t="s">
        <v>253</v>
      </c>
      <c r="J262" s="258"/>
    </row>
    <row r="263" spans="1:10" ht="35.5">
      <c r="A263" s="385"/>
      <c r="B263" s="387"/>
      <c r="C263" s="328"/>
      <c r="D263" s="333"/>
      <c r="E263" s="315"/>
      <c r="F263" s="339"/>
      <c r="G263" s="328"/>
      <c r="H263" s="232" t="s">
        <v>61</v>
      </c>
      <c r="I263" s="257" t="s">
        <v>254</v>
      </c>
      <c r="J263" s="258"/>
    </row>
    <row r="264" spans="1:10" ht="12">
      <c r="A264" s="385"/>
      <c r="B264" s="387"/>
      <c r="C264" s="328"/>
      <c r="D264" s="333"/>
      <c r="E264" s="315"/>
      <c r="F264" s="339"/>
      <c r="G264" s="328"/>
      <c r="H264" s="232" t="s">
        <v>80</v>
      </c>
      <c r="I264" s="257" t="s">
        <v>255</v>
      </c>
      <c r="J264" s="258"/>
    </row>
    <row r="265" spans="1:10" ht="23.5">
      <c r="A265" s="385"/>
      <c r="B265" s="387"/>
      <c r="C265" s="328"/>
      <c r="D265" s="333"/>
      <c r="E265" s="315"/>
      <c r="F265" s="339"/>
      <c r="G265" s="328"/>
      <c r="H265" s="232" t="s">
        <v>120</v>
      </c>
      <c r="I265" s="257" t="s">
        <v>256</v>
      </c>
      <c r="J265" s="258"/>
    </row>
    <row r="266" spans="1:10" ht="24">
      <c r="A266" s="385"/>
      <c r="B266" s="387"/>
      <c r="C266" s="328"/>
      <c r="D266" s="331"/>
      <c r="E266" s="314"/>
      <c r="F266" s="340"/>
      <c r="G266" s="328"/>
      <c r="H266" s="232" t="s">
        <v>122</v>
      </c>
      <c r="I266" s="257" t="s">
        <v>257</v>
      </c>
      <c r="J266" s="258"/>
    </row>
    <row r="267" spans="1:10" ht="23">
      <c r="A267" s="385"/>
      <c r="B267" s="387"/>
      <c r="C267" s="328"/>
      <c r="D267" s="332" t="s">
        <v>19</v>
      </c>
      <c r="E267" s="313" t="s">
        <v>150</v>
      </c>
      <c r="F267" s="338"/>
      <c r="G267" s="328"/>
      <c r="H267" s="232" t="s">
        <v>124</v>
      </c>
      <c r="I267" s="257" t="s">
        <v>258</v>
      </c>
      <c r="J267" s="258"/>
    </row>
    <row r="268" spans="1:10" ht="38.25" customHeight="1">
      <c r="A268" s="385"/>
      <c r="B268" s="387"/>
      <c r="C268" s="328"/>
      <c r="D268" s="333"/>
      <c r="E268" s="315"/>
      <c r="F268" s="339"/>
      <c r="G268" s="328"/>
      <c r="H268" s="232" t="s">
        <v>259</v>
      </c>
      <c r="I268" s="257" t="s">
        <v>260</v>
      </c>
      <c r="J268" s="258"/>
    </row>
    <row r="269" spans="1:10" ht="23.5">
      <c r="A269" s="385"/>
      <c r="B269" s="387"/>
      <c r="C269" s="328"/>
      <c r="D269" s="333"/>
      <c r="E269" s="315"/>
      <c r="F269" s="339"/>
      <c r="G269" s="328"/>
      <c r="H269" s="232" t="s">
        <v>261</v>
      </c>
      <c r="I269" s="257" t="s">
        <v>262</v>
      </c>
      <c r="J269" s="258"/>
    </row>
    <row r="270" spans="1:10" ht="25.5" customHeight="1">
      <c r="A270" s="385"/>
      <c r="B270" s="387"/>
      <c r="C270" s="328"/>
      <c r="D270" s="333"/>
      <c r="E270" s="315"/>
      <c r="F270" s="339"/>
      <c r="G270" s="328"/>
      <c r="H270" s="232" t="s">
        <v>263</v>
      </c>
      <c r="I270" s="257" t="s">
        <v>264</v>
      </c>
      <c r="J270" s="258"/>
    </row>
    <row r="271" spans="1:10" ht="25.5" customHeight="1">
      <c r="A271" s="385"/>
      <c r="B271" s="387"/>
      <c r="C271" s="328"/>
      <c r="D271" s="333"/>
      <c r="E271" s="315"/>
      <c r="F271" s="339"/>
      <c r="G271" s="328"/>
      <c r="H271" s="232" t="s">
        <v>265</v>
      </c>
      <c r="I271" s="257" t="s">
        <v>266</v>
      </c>
      <c r="J271" s="258"/>
    </row>
    <row r="272" spans="1:10" ht="25.5" customHeight="1">
      <c r="A272" s="385"/>
      <c r="B272" s="387"/>
      <c r="C272" s="328"/>
      <c r="D272" s="333"/>
      <c r="E272" s="315"/>
      <c r="F272" s="339"/>
      <c r="G272" s="328"/>
      <c r="H272" s="232" t="s">
        <v>267</v>
      </c>
      <c r="I272" s="257" t="s">
        <v>268</v>
      </c>
      <c r="J272" s="258"/>
    </row>
    <row r="273" spans="1:10" ht="12">
      <c r="A273" s="385"/>
      <c r="B273" s="387"/>
      <c r="C273" s="328"/>
      <c r="D273" s="333"/>
      <c r="E273" s="315"/>
      <c r="F273" s="339"/>
      <c r="G273" s="328"/>
      <c r="H273" s="232" t="s">
        <v>269</v>
      </c>
      <c r="I273" s="257" t="s">
        <v>270</v>
      </c>
      <c r="J273" s="258"/>
    </row>
    <row r="274" spans="1:10" ht="12">
      <c r="A274" s="385"/>
      <c r="B274" s="387"/>
      <c r="C274" s="328"/>
      <c r="D274" s="331"/>
      <c r="E274" s="314"/>
      <c r="F274" s="340"/>
      <c r="G274" s="328"/>
      <c r="H274" s="232" t="s">
        <v>271</v>
      </c>
      <c r="I274" s="257" t="s">
        <v>272</v>
      </c>
      <c r="J274" s="258"/>
    </row>
    <row r="275" spans="1:10" ht="23">
      <c r="A275" s="385"/>
      <c r="B275" s="387"/>
      <c r="C275" s="329" t="s">
        <v>14</v>
      </c>
      <c r="D275" s="332" t="s">
        <v>15</v>
      </c>
      <c r="E275" s="313" t="s">
        <v>154</v>
      </c>
      <c r="F275" s="338"/>
      <c r="G275" s="329" t="s">
        <v>14</v>
      </c>
      <c r="H275" s="232" t="s">
        <v>15</v>
      </c>
      <c r="I275" s="257" t="s">
        <v>273</v>
      </c>
      <c r="J275" s="258"/>
    </row>
    <row r="276" spans="1:10" ht="25.5" customHeight="1">
      <c r="A276" s="385"/>
      <c r="B276" s="387"/>
      <c r="C276" s="329"/>
      <c r="D276" s="333"/>
      <c r="E276" s="315"/>
      <c r="F276" s="339"/>
      <c r="G276" s="329"/>
      <c r="H276" s="232" t="s">
        <v>19</v>
      </c>
      <c r="I276" s="257" t="s">
        <v>56</v>
      </c>
      <c r="J276" s="258"/>
    </row>
    <row r="277" spans="1:10" ht="23">
      <c r="A277" s="385"/>
      <c r="B277" s="387"/>
      <c r="C277" s="329"/>
      <c r="D277" s="333"/>
      <c r="E277" s="315"/>
      <c r="F277" s="339"/>
      <c r="G277" s="329"/>
      <c r="H277" s="232" t="s">
        <v>24</v>
      </c>
      <c r="I277" s="257" t="s">
        <v>274</v>
      </c>
      <c r="J277" s="258"/>
    </row>
    <row r="278" spans="1:10" ht="23">
      <c r="A278" s="385"/>
      <c r="B278" s="387"/>
      <c r="C278" s="329"/>
      <c r="D278" s="333"/>
      <c r="E278" s="315"/>
      <c r="F278" s="339"/>
      <c r="G278" s="329"/>
      <c r="H278" s="232" t="s">
        <v>36</v>
      </c>
      <c r="I278" s="257" t="s">
        <v>275</v>
      </c>
      <c r="J278" s="258"/>
    </row>
    <row r="279" spans="1:10" ht="35.5">
      <c r="A279" s="385"/>
      <c r="B279" s="387"/>
      <c r="C279" s="329"/>
      <c r="D279" s="333"/>
      <c r="E279" s="315"/>
      <c r="F279" s="339"/>
      <c r="G279" s="329"/>
      <c r="H279" s="232" t="s">
        <v>61</v>
      </c>
      <c r="I279" s="257" t="s">
        <v>254</v>
      </c>
      <c r="J279" s="258"/>
    </row>
    <row r="280" spans="1:10" ht="12">
      <c r="A280" s="385"/>
      <c r="B280" s="387"/>
      <c r="C280" s="329"/>
      <c r="D280" s="333"/>
      <c r="E280" s="315"/>
      <c r="F280" s="339"/>
      <c r="G280" s="329"/>
      <c r="H280" s="232" t="s">
        <v>80</v>
      </c>
      <c r="I280" s="257" t="s">
        <v>255</v>
      </c>
      <c r="J280" s="258"/>
    </row>
    <row r="281" spans="1:10" ht="23">
      <c r="A281" s="385"/>
      <c r="B281" s="387"/>
      <c r="C281" s="329"/>
      <c r="D281" s="331"/>
      <c r="E281" s="314"/>
      <c r="F281" s="340"/>
      <c r="G281" s="329"/>
      <c r="H281" s="232" t="s">
        <v>120</v>
      </c>
      <c r="I281" s="257" t="s">
        <v>276</v>
      </c>
      <c r="J281" s="258"/>
    </row>
    <row r="282" spans="1:10" ht="24">
      <c r="A282" s="385"/>
      <c r="B282" s="387"/>
      <c r="C282" s="329"/>
      <c r="D282" s="332" t="s">
        <v>19</v>
      </c>
      <c r="E282" s="313" t="s">
        <v>157</v>
      </c>
      <c r="F282" s="338"/>
      <c r="G282" s="329"/>
      <c r="H282" s="232" t="s">
        <v>122</v>
      </c>
      <c r="I282" s="257" t="s">
        <v>277</v>
      </c>
      <c r="J282" s="258"/>
    </row>
    <row r="283" spans="1:10" ht="35">
      <c r="A283" s="385"/>
      <c r="B283" s="387"/>
      <c r="C283" s="329"/>
      <c r="D283" s="333"/>
      <c r="E283" s="315"/>
      <c r="F283" s="339"/>
      <c r="G283" s="329"/>
      <c r="H283" s="232" t="s">
        <v>124</v>
      </c>
      <c r="I283" s="257" t="s">
        <v>278</v>
      </c>
      <c r="J283" s="258"/>
    </row>
    <row r="284" spans="1:10" ht="35">
      <c r="A284" s="385"/>
      <c r="B284" s="387"/>
      <c r="C284" s="329"/>
      <c r="D284" s="333"/>
      <c r="E284" s="315"/>
      <c r="F284" s="339"/>
      <c r="G284" s="329"/>
      <c r="H284" s="232" t="s">
        <v>259</v>
      </c>
      <c r="I284" s="257" t="s">
        <v>279</v>
      </c>
      <c r="J284" s="258"/>
    </row>
    <row r="285" spans="1:10" ht="23.5">
      <c r="A285" s="385"/>
      <c r="B285" s="387"/>
      <c r="C285" s="329"/>
      <c r="D285" s="333"/>
      <c r="E285" s="315"/>
      <c r="F285" s="339"/>
      <c r="G285" s="329"/>
      <c r="H285" s="232" t="s">
        <v>261</v>
      </c>
      <c r="I285" s="257" t="s">
        <v>262</v>
      </c>
      <c r="J285" s="258"/>
    </row>
    <row r="286" spans="1:10" ht="12">
      <c r="A286" s="385"/>
      <c r="B286" s="387"/>
      <c r="C286" s="329"/>
      <c r="D286" s="333"/>
      <c r="E286" s="315"/>
      <c r="F286" s="339"/>
      <c r="G286" s="329"/>
      <c r="H286" s="232" t="s">
        <v>263</v>
      </c>
      <c r="I286" s="257" t="s">
        <v>280</v>
      </c>
      <c r="J286" s="258"/>
    </row>
    <row r="287" spans="1:10" ht="12">
      <c r="A287" s="385"/>
      <c r="B287" s="387"/>
      <c r="C287" s="329"/>
      <c r="D287" s="333"/>
      <c r="E287" s="315"/>
      <c r="F287" s="339"/>
      <c r="G287" s="329"/>
      <c r="H287" s="232" t="s">
        <v>265</v>
      </c>
      <c r="I287" s="257" t="s">
        <v>266</v>
      </c>
      <c r="J287" s="258"/>
    </row>
    <row r="288" spans="1:10">
      <c r="A288" s="385"/>
      <c r="B288" s="387"/>
      <c r="C288" s="329"/>
      <c r="D288" s="333"/>
      <c r="E288" s="315"/>
      <c r="F288" s="339"/>
      <c r="G288" s="329"/>
      <c r="H288" s="232" t="s">
        <v>267</v>
      </c>
      <c r="I288" s="257" t="s">
        <v>281</v>
      </c>
      <c r="J288" s="258"/>
    </row>
    <row r="289" spans="1:10" ht="12">
      <c r="A289" s="385"/>
      <c r="B289" s="387"/>
      <c r="C289" s="329"/>
      <c r="D289" s="333"/>
      <c r="E289" s="315"/>
      <c r="F289" s="339"/>
      <c r="G289" s="329"/>
      <c r="H289" s="232" t="s">
        <v>269</v>
      </c>
      <c r="I289" s="257" t="s">
        <v>270</v>
      </c>
      <c r="J289" s="258"/>
    </row>
    <row r="290" spans="1:10" ht="12">
      <c r="A290" s="385"/>
      <c r="B290" s="387"/>
      <c r="C290" s="329"/>
      <c r="D290" s="331"/>
      <c r="E290" s="314"/>
      <c r="F290" s="340"/>
      <c r="G290" s="329"/>
      <c r="H290" s="232" t="s">
        <v>271</v>
      </c>
      <c r="I290" s="257" t="s">
        <v>282</v>
      </c>
      <c r="J290" s="258"/>
    </row>
    <row r="291" spans="1:10" ht="23">
      <c r="A291" s="385"/>
      <c r="B291" s="387"/>
      <c r="C291" s="323" t="s">
        <v>17</v>
      </c>
      <c r="D291" s="332" t="s">
        <v>15</v>
      </c>
      <c r="E291" s="313" t="s">
        <v>159</v>
      </c>
      <c r="F291" s="338"/>
      <c r="G291" s="323" t="s">
        <v>17</v>
      </c>
      <c r="H291" s="232" t="s">
        <v>15</v>
      </c>
      <c r="I291" s="257" t="s">
        <v>273</v>
      </c>
      <c r="J291" s="258"/>
    </row>
    <row r="292" spans="1:10" ht="25.5" customHeight="1">
      <c r="A292" s="385"/>
      <c r="B292" s="387"/>
      <c r="C292" s="323"/>
      <c r="D292" s="333"/>
      <c r="E292" s="315"/>
      <c r="F292" s="339"/>
      <c r="G292" s="323"/>
      <c r="H292" s="232" t="s">
        <v>19</v>
      </c>
      <c r="I292" s="257" t="s">
        <v>56</v>
      </c>
      <c r="J292" s="258"/>
    </row>
    <row r="293" spans="1:10" ht="23">
      <c r="A293" s="385"/>
      <c r="B293" s="387"/>
      <c r="C293" s="323"/>
      <c r="D293" s="333"/>
      <c r="E293" s="315"/>
      <c r="F293" s="339"/>
      <c r="G293" s="323"/>
      <c r="H293" s="232" t="s">
        <v>24</v>
      </c>
      <c r="I293" s="257" t="s">
        <v>283</v>
      </c>
      <c r="J293" s="258"/>
    </row>
    <row r="294" spans="1:10" ht="23">
      <c r="A294" s="385"/>
      <c r="B294" s="387"/>
      <c r="C294" s="323"/>
      <c r="D294" s="333"/>
      <c r="E294" s="315"/>
      <c r="F294" s="339"/>
      <c r="G294" s="323"/>
      <c r="H294" s="232" t="s">
        <v>36</v>
      </c>
      <c r="I294" s="257" t="s">
        <v>253</v>
      </c>
      <c r="J294" s="258"/>
    </row>
    <row r="295" spans="1:10" ht="35.5">
      <c r="A295" s="385"/>
      <c r="B295" s="387"/>
      <c r="C295" s="323"/>
      <c r="D295" s="333"/>
      <c r="E295" s="315"/>
      <c r="F295" s="339"/>
      <c r="G295" s="323"/>
      <c r="H295" s="232" t="s">
        <v>61</v>
      </c>
      <c r="I295" s="257" t="s">
        <v>284</v>
      </c>
      <c r="J295" s="258"/>
    </row>
    <row r="296" spans="1:10" ht="12">
      <c r="A296" s="385"/>
      <c r="B296" s="387"/>
      <c r="C296" s="323"/>
      <c r="D296" s="333"/>
      <c r="E296" s="315"/>
      <c r="F296" s="339"/>
      <c r="G296" s="323"/>
      <c r="H296" s="232" t="s">
        <v>80</v>
      </c>
      <c r="I296" s="257" t="s">
        <v>255</v>
      </c>
      <c r="J296" s="258"/>
    </row>
    <row r="297" spans="1:10" ht="23.5">
      <c r="A297" s="385"/>
      <c r="B297" s="387"/>
      <c r="C297" s="323"/>
      <c r="D297" s="331"/>
      <c r="E297" s="314"/>
      <c r="F297" s="340"/>
      <c r="G297" s="323"/>
      <c r="H297" s="232" t="s">
        <v>120</v>
      </c>
      <c r="I297" s="257" t="s">
        <v>285</v>
      </c>
      <c r="J297" s="258"/>
    </row>
    <row r="298" spans="1:10" ht="23.5">
      <c r="A298" s="385"/>
      <c r="B298" s="387"/>
      <c r="C298" s="323"/>
      <c r="D298" s="332" t="s">
        <v>19</v>
      </c>
      <c r="E298" s="313" t="s">
        <v>163</v>
      </c>
      <c r="F298" s="338"/>
      <c r="G298" s="323"/>
      <c r="H298" s="232" t="s">
        <v>122</v>
      </c>
      <c r="I298" s="257" t="s">
        <v>286</v>
      </c>
      <c r="J298" s="258"/>
    </row>
    <row r="299" spans="1:10" ht="34.5">
      <c r="A299" s="385"/>
      <c r="B299" s="387"/>
      <c r="C299" s="323"/>
      <c r="D299" s="333"/>
      <c r="E299" s="315"/>
      <c r="F299" s="339"/>
      <c r="G299" s="323"/>
      <c r="H299" s="232" t="s">
        <v>124</v>
      </c>
      <c r="I299" s="257" t="s">
        <v>287</v>
      </c>
      <c r="J299" s="258"/>
    </row>
    <row r="300" spans="1:10" ht="23">
      <c r="A300" s="385"/>
      <c r="B300" s="387"/>
      <c r="C300" s="323"/>
      <c r="D300" s="333"/>
      <c r="E300" s="315"/>
      <c r="F300" s="339"/>
      <c r="G300" s="323"/>
      <c r="H300" s="232" t="s">
        <v>259</v>
      </c>
      <c r="I300" s="257" t="s">
        <v>288</v>
      </c>
      <c r="J300" s="258"/>
    </row>
    <row r="301" spans="1:10" ht="23">
      <c r="A301" s="385"/>
      <c r="B301" s="387"/>
      <c r="C301" s="323"/>
      <c r="D301" s="333"/>
      <c r="E301" s="315"/>
      <c r="F301" s="339"/>
      <c r="G301" s="323"/>
      <c r="H301" s="232" t="s">
        <v>261</v>
      </c>
      <c r="I301" s="257" t="s">
        <v>289</v>
      </c>
      <c r="J301" s="258"/>
    </row>
    <row r="302" spans="1:10" ht="12">
      <c r="A302" s="385"/>
      <c r="B302" s="387"/>
      <c r="C302" s="323"/>
      <c r="D302" s="333"/>
      <c r="E302" s="315"/>
      <c r="F302" s="339"/>
      <c r="G302" s="323"/>
      <c r="H302" s="232" t="s">
        <v>263</v>
      </c>
      <c r="I302" s="257" t="s">
        <v>280</v>
      </c>
      <c r="J302" s="258"/>
    </row>
    <row r="303" spans="1:10" ht="12">
      <c r="A303" s="385"/>
      <c r="B303" s="387"/>
      <c r="C303" s="323"/>
      <c r="D303" s="333"/>
      <c r="E303" s="315"/>
      <c r="F303" s="339"/>
      <c r="G303" s="323"/>
      <c r="H303" s="232" t="s">
        <v>265</v>
      </c>
      <c r="I303" s="257" t="s">
        <v>266</v>
      </c>
      <c r="J303" s="258"/>
    </row>
    <row r="304" spans="1:10">
      <c r="A304" s="385"/>
      <c r="B304" s="387"/>
      <c r="C304" s="323"/>
      <c r="D304" s="333"/>
      <c r="E304" s="315"/>
      <c r="F304" s="339"/>
      <c r="G304" s="323"/>
      <c r="H304" s="232" t="s">
        <v>267</v>
      </c>
      <c r="I304" s="257" t="s">
        <v>290</v>
      </c>
      <c r="J304" s="258"/>
    </row>
    <row r="305" spans="1:10" ht="12">
      <c r="A305" s="385"/>
      <c r="B305" s="387"/>
      <c r="C305" s="323"/>
      <c r="D305" s="333"/>
      <c r="E305" s="315"/>
      <c r="F305" s="339"/>
      <c r="G305" s="323"/>
      <c r="H305" s="232" t="s">
        <v>269</v>
      </c>
      <c r="I305" s="257" t="s">
        <v>270</v>
      </c>
      <c r="J305" s="258"/>
    </row>
    <row r="306" spans="1:10" ht="12">
      <c r="A306" s="385"/>
      <c r="B306" s="387"/>
      <c r="C306" s="323"/>
      <c r="D306" s="331"/>
      <c r="E306" s="314"/>
      <c r="F306" s="340"/>
      <c r="G306" s="323"/>
      <c r="H306" s="232" t="s">
        <v>271</v>
      </c>
      <c r="I306" s="257" t="s">
        <v>282</v>
      </c>
      <c r="J306" s="258"/>
    </row>
    <row r="307" spans="1:10" ht="34.5">
      <c r="A307" s="385"/>
      <c r="B307" s="387"/>
      <c r="C307" s="324" t="s">
        <v>22</v>
      </c>
      <c r="D307" s="332" t="s">
        <v>15</v>
      </c>
      <c r="E307" s="313" t="s">
        <v>165</v>
      </c>
      <c r="F307" s="338"/>
      <c r="G307" s="324" t="s">
        <v>22</v>
      </c>
      <c r="H307" s="232" t="s">
        <v>15</v>
      </c>
      <c r="I307" s="257" t="s">
        <v>291</v>
      </c>
      <c r="J307" s="258"/>
    </row>
    <row r="308" spans="1:10" ht="25.5" customHeight="1">
      <c r="A308" s="385"/>
      <c r="B308" s="387"/>
      <c r="C308" s="324"/>
      <c r="D308" s="333"/>
      <c r="E308" s="315"/>
      <c r="F308" s="339"/>
      <c r="G308" s="324"/>
      <c r="H308" s="232" t="s">
        <v>19</v>
      </c>
      <c r="I308" s="257" t="s">
        <v>229</v>
      </c>
      <c r="J308" s="258"/>
    </row>
    <row r="309" spans="1:10" ht="23">
      <c r="A309" s="385"/>
      <c r="B309" s="387"/>
      <c r="C309" s="324"/>
      <c r="D309" s="333"/>
      <c r="E309" s="315"/>
      <c r="F309" s="339"/>
      <c r="G309" s="324"/>
      <c r="H309" s="232" t="s">
        <v>24</v>
      </c>
      <c r="I309" s="257" t="s">
        <v>292</v>
      </c>
      <c r="J309" s="258"/>
    </row>
    <row r="310" spans="1:10" ht="23">
      <c r="A310" s="385"/>
      <c r="B310" s="387"/>
      <c r="C310" s="324"/>
      <c r="D310" s="333"/>
      <c r="E310" s="315"/>
      <c r="F310" s="339"/>
      <c r="G310" s="324"/>
      <c r="H310" s="232" t="s">
        <v>36</v>
      </c>
      <c r="I310" s="257" t="s">
        <v>253</v>
      </c>
      <c r="J310" s="258"/>
    </row>
    <row r="311" spans="1:10" ht="35.5">
      <c r="A311" s="385"/>
      <c r="B311" s="387"/>
      <c r="C311" s="324"/>
      <c r="D311" s="333"/>
      <c r="E311" s="315"/>
      <c r="F311" s="339"/>
      <c r="G311" s="324"/>
      <c r="H311" s="232" t="s">
        <v>61</v>
      </c>
      <c r="I311" s="257" t="s">
        <v>293</v>
      </c>
      <c r="J311" s="258"/>
    </row>
    <row r="312" spans="1:10" ht="12">
      <c r="A312" s="385"/>
      <c r="B312" s="387"/>
      <c r="C312" s="324"/>
      <c r="D312" s="333"/>
      <c r="E312" s="315"/>
      <c r="F312" s="339"/>
      <c r="G312" s="324"/>
      <c r="H312" s="232" t="s">
        <v>80</v>
      </c>
      <c r="I312" s="257" t="s">
        <v>255</v>
      </c>
      <c r="J312" s="258"/>
    </row>
    <row r="313" spans="1:10" ht="23">
      <c r="A313" s="385"/>
      <c r="B313" s="387"/>
      <c r="C313" s="324"/>
      <c r="D313" s="331"/>
      <c r="E313" s="314"/>
      <c r="F313" s="340"/>
      <c r="G313" s="324"/>
      <c r="H313" s="232" t="s">
        <v>120</v>
      </c>
      <c r="I313" s="257" t="s">
        <v>276</v>
      </c>
      <c r="J313" s="258"/>
    </row>
    <row r="314" spans="1:10" ht="35.5">
      <c r="A314" s="385"/>
      <c r="B314" s="387"/>
      <c r="C314" s="324"/>
      <c r="D314" s="332" t="s">
        <v>19</v>
      </c>
      <c r="E314" s="313" t="s">
        <v>168</v>
      </c>
      <c r="F314" s="338"/>
      <c r="G314" s="324"/>
      <c r="H314" s="232" t="s">
        <v>122</v>
      </c>
      <c r="I314" s="257" t="s">
        <v>294</v>
      </c>
      <c r="J314" s="258"/>
    </row>
    <row r="315" spans="1:10" ht="34.5">
      <c r="A315" s="385"/>
      <c r="B315" s="387"/>
      <c r="C315" s="324"/>
      <c r="D315" s="333"/>
      <c r="E315" s="315"/>
      <c r="F315" s="339"/>
      <c r="G315" s="324"/>
      <c r="H315" s="232" t="s">
        <v>124</v>
      </c>
      <c r="I315" s="257" t="s">
        <v>295</v>
      </c>
      <c r="J315" s="258"/>
    </row>
    <row r="316" spans="1:10" ht="35">
      <c r="A316" s="385"/>
      <c r="B316" s="387"/>
      <c r="C316" s="324"/>
      <c r="D316" s="333"/>
      <c r="E316" s="315"/>
      <c r="F316" s="339"/>
      <c r="G316" s="324"/>
      <c r="H316" s="232" t="s">
        <v>259</v>
      </c>
      <c r="I316" s="257" t="s">
        <v>279</v>
      </c>
      <c r="J316" s="258"/>
    </row>
    <row r="317" spans="1:10" ht="23.5">
      <c r="A317" s="385"/>
      <c r="B317" s="387"/>
      <c r="C317" s="324"/>
      <c r="D317" s="333"/>
      <c r="E317" s="315"/>
      <c r="F317" s="339"/>
      <c r="G317" s="324"/>
      <c r="H317" s="232" t="s">
        <v>261</v>
      </c>
      <c r="I317" s="257" t="s">
        <v>296</v>
      </c>
      <c r="J317" s="258"/>
    </row>
    <row r="318" spans="1:10" ht="12">
      <c r="A318" s="385"/>
      <c r="B318" s="387"/>
      <c r="C318" s="324"/>
      <c r="D318" s="333"/>
      <c r="E318" s="315"/>
      <c r="F318" s="339"/>
      <c r="G318" s="324"/>
      <c r="H318" s="232" t="s">
        <v>263</v>
      </c>
      <c r="I318" s="257" t="s">
        <v>280</v>
      </c>
      <c r="J318" s="258"/>
    </row>
    <row r="319" spans="1:10" ht="12">
      <c r="A319" s="385"/>
      <c r="B319" s="387"/>
      <c r="C319" s="324"/>
      <c r="D319" s="333"/>
      <c r="E319" s="315"/>
      <c r="F319" s="339"/>
      <c r="G319" s="324"/>
      <c r="H319" s="232" t="s">
        <v>265</v>
      </c>
      <c r="I319" s="257" t="s">
        <v>266</v>
      </c>
      <c r="J319" s="258"/>
    </row>
    <row r="320" spans="1:10">
      <c r="A320" s="385"/>
      <c r="B320" s="387"/>
      <c r="C320" s="324"/>
      <c r="D320" s="333"/>
      <c r="E320" s="315"/>
      <c r="F320" s="339"/>
      <c r="G320" s="324"/>
      <c r="H320" s="232" t="s">
        <v>267</v>
      </c>
      <c r="I320" s="257" t="s">
        <v>268</v>
      </c>
      <c r="J320" s="258"/>
    </row>
    <row r="321" spans="1:10" ht="12">
      <c r="A321" s="385"/>
      <c r="B321" s="387"/>
      <c r="C321" s="324"/>
      <c r="D321" s="333"/>
      <c r="E321" s="315"/>
      <c r="F321" s="339"/>
      <c r="G321" s="324"/>
      <c r="H321" s="232" t="s">
        <v>269</v>
      </c>
      <c r="I321" s="257" t="s">
        <v>270</v>
      </c>
      <c r="J321" s="258"/>
    </row>
    <row r="322" spans="1:10" ht="12">
      <c r="A322" s="385"/>
      <c r="B322" s="387"/>
      <c r="C322" s="324"/>
      <c r="D322" s="331"/>
      <c r="E322" s="314"/>
      <c r="F322" s="340"/>
      <c r="G322" s="324"/>
      <c r="H322" s="232" t="s">
        <v>271</v>
      </c>
      <c r="I322" s="257" t="s">
        <v>282</v>
      </c>
      <c r="J322" s="258"/>
    </row>
    <row r="323" spans="1:10" ht="23">
      <c r="A323" s="385"/>
      <c r="B323" s="387"/>
      <c r="C323" s="325" t="s">
        <v>26</v>
      </c>
      <c r="D323" s="332" t="s">
        <v>15</v>
      </c>
      <c r="E323" s="313" t="s">
        <v>170</v>
      </c>
      <c r="F323" s="338"/>
      <c r="G323" s="325" t="s">
        <v>26</v>
      </c>
      <c r="H323" s="232" t="s">
        <v>15</v>
      </c>
      <c r="I323" s="257" t="s">
        <v>297</v>
      </c>
      <c r="J323" s="258"/>
    </row>
    <row r="324" spans="1:10" ht="25.5" customHeight="1">
      <c r="A324" s="385"/>
      <c r="B324" s="387"/>
      <c r="C324" s="325"/>
      <c r="D324" s="333"/>
      <c r="E324" s="315"/>
      <c r="F324" s="339"/>
      <c r="G324" s="325"/>
      <c r="H324" s="232" t="s">
        <v>298</v>
      </c>
      <c r="I324" s="257" t="s">
        <v>299</v>
      </c>
      <c r="J324" s="258"/>
    </row>
    <row r="325" spans="1:10" ht="21.75" customHeight="1">
      <c r="A325" s="385"/>
      <c r="B325" s="387"/>
      <c r="C325" s="325"/>
      <c r="D325" s="333"/>
      <c r="E325" s="315"/>
      <c r="F325" s="339"/>
      <c r="G325" s="325"/>
      <c r="H325" s="335" t="s">
        <v>24</v>
      </c>
      <c r="I325" s="313" t="s">
        <v>300</v>
      </c>
      <c r="J325" s="317"/>
    </row>
    <row r="326" spans="1:10" ht="18" customHeight="1">
      <c r="A326" s="385"/>
      <c r="B326" s="387"/>
      <c r="C326" s="325"/>
      <c r="D326" s="333"/>
      <c r="E326" s="315"/>
      <c r="F326" s="339"/>
      <c r="G326" s="325"/>
      <c r="H326" s="336"/>
      <c r="I326" s="314"/>
      <c r="J326" s="318"/>
    </row>
    <row r="327" spans="1:10" ht="12">
      <c r="A327" s="385"/>
      <c r="B327" s="387"/>
      <c r="C327" s="325"/>
      <c r="D327" s="333"/>
      <c r="E327" s="315"/>
      <c r="F327" s="339"/>
      <c r="G327" s="325"/>
      <c r="H327" s="232" t="s">
        <v>36</v>
      </c>
      <c r="I327" s="257" t="s">
        <v>255</v>
      </c>
      <c r="J327" s="258"/>
    </row>
    <row r="328" spans="1:10" ht="23">
      <c r="A328" s="385"/>
      <c r="B328" s="387"/>
      <c r="C328" s="325"/>
      <c r="D328" s="333"/>
      <c r="E328" s="315"/>
      <c r="F328" s="339"/>
      <c r="G328" s="325"/>
      <c r="H328" s="232" t="s">
        <v>61</v>
      </c>
      <c r="I328" s="257" t="s">
        <v>276</v>
      </c>
      <c r="J328" s="258"/>
    </row>
    <row r="329" spans="1:10" ht="35.5">
      <c r="A329" s="385"/>
      <c r="B329" s="387"/>
      <c r="C329" s="325"/>
      <c r="D329" s="331"/>
      <c r="E329" s="314"/>
      <c r="F329" s="340"/>
      <c r="G329" s="325"/>
      <c r="H329" s="232" t="s">
        <v>80</v>
      </c>
      <c r="I329" s="257" t="s">
        <v>301</v>
      </c>
      <c r="J329" s="258"/>
    </row>
    <row r="330" spans="1:10" ht="34.5">
      <c r="A330" s="385"/>
      <c r="B330" s="387"/>
      <c r="C330" s="325"/>
      <c r="D330" s="332" t="s">
        <v>19</v>
      </c>
      <c r="E330" s="313" t="s">
        <v>174</v>
      </c>
      <c r="F330" s="338"/>
      <c r="G330" s="325"/>
      <c r="H330" s="232" t="s">
        <v>120</v>
      </c>
      <c r="I330" s="257" t="s">
        <v>295</v>
      </c>
      <c r="J330" s="258"/>
    </row>
    <row r="331" spans="1:10" ht="35">
      <c r="A331" s="385"/>
      <c r="B331" s="387"/>
      <c r="C331" s="325"/>
      <c r="D331" s="333"/>
      <c r="E331" s="346"/>
      <c r="F331" s="341"/>
      <c r="G331" s="325"/>
      <c r="H331" s="232" t="s">
        <v>122</v>
      </c>
      <c r="I331" s="257" t="s">
        <v>279</v>
      </c>
      <c r="J331" s="258"/>
    </row>
    <row r="332" spans="1:10" ht="23.5">
      <c r="A332" s="385"/>
      <c r="B332" s="387"/>
      <c r="C332" s="325"/>
      <c r="D332" s="333"/>
      <c r="E332" s="346"/>
      <c r="F332" s="341"/>
      <c r="G332" s="325"/>
      <c r="H332" s="232" t="s">
        <v>124</v>
      </c>
      <c r="I332" s="257" t="s">
        <v>296</v>
      </c>
      <c r="J332" s="258"/>
    </row>
    <row r="333" spans="1:10" ht="12">
      <c r="A333" s="385"/>
      <c r="B333" s="387"/>
      <c r="C333" s="325"/>
      <c r="D333" s="333"/>
      <c r="E333" s="346"/>
      <c r="F333" s="341"/>
      <c r="G333" s="325"/>
      <c r="H333" s="232" t="s">
        <v>259</v>
      </c>
      <c r="I333" s="257" t="s">
        <v>280</v>
      </c>
      <c r="J333" s="258"/>
    </row>
    <row r="334" spans="1:10" ht="12">
      <c r="A334" s="385"/>
      <c r="B334" s="387"/>
      <c r="C334" s="325"/>
      <c r="D334" s="333"/>
      <c r="E334" s="346"/>
      <c r="F334" s="341"/>
      <c r="G334" s="325"/>
      <c r="H334" s="232" t="s">
        <v>261</v>
      </c>
      <c r="I334" s="257" t="s">
        <v>302</v>
      </c>
      <c r="J334" s="258"/>
    </row>
    <row r="335" spans="1:10">
      <c r="A335" s="385"/>
      <c r="B335" s="387"/>
      <c r="C335" s="325"/>
      <c r="D335" s="333"/>
      <c r="E335" s="346"/>
      <c r="F335" s="341"/>
      <c r="G335" s="325"/>
      <c r="H335" s="232" t="s">
        <v>263</v>
      </c>
      <c r="I335" s="257" t="s">
        <v>281</v>
      </c>
      <c r="J335" s="258"/>
    </row>
    <row r="336" spans="1:10" ht="12">
      <c r="A336" s="385"/>
      <c r="B336" s="387"/>
      <c r="C336" s="325"/>
      <c r="D336" s="333"/>
      <c r="E336" s="346"/>
      <c r="F336" s="341"/>
      <c r="G336" s="325"/>
      <c r="H336" s="232" t="s">
        <v>265</v>
      </c>
      <c r="I336" s="257" t="s">
        <v>303</v>
      </c>
      <c r="J336" s="258"/>
    </row>
    <row r="337" spans="1:10">
      <c r="A337" s="385"/>
      <c r="B337" s="387"/>
      <c r="C337" s="325"/>
      <c r="D337" s="333"/>
      <c r="E337" s="346"/>
      <c r="F337" s="341"/>
      <c r="G337" s="325"/>
      <c r="H337" s="335" t="s">
        <v>267</v>
      </c>
      <c r="I337" s="313" t="s">
        <v>304</v>
      </c>
      <c r="J337" s="317"/>
    </row>
    <row r="338" spans="1:10" ht="15.75" customHeight="1">
      <c r="A338" s="385"/>
      <c r="B338" s="388"/>
      <c r="C338" s="326"/>
      <c r="D338" s="334"/>
      <c r="E338" s="316"/>
      <c r="F338" s="342"/>
      <c r="G338" s="326"/>
      <c r="H338" s="337"/>
      <c r="I338" s="316"/>
      <c r="J338" s="320"/>
    </row>
    <row r="339" spans="1:10" ht="12.75" customHeight="1">
      <c r="A339" s="385"/>
      <c r="B339" s="287" t="s">
        <v>3</v>
      </c>
      <c r="C339" s="288"/>
      <c r="D339" s="288"/>
      <c r="E339" s="288"/>
      <c r="F339" s="288"/>
      <c r="G339" s="288"/>
      <c r="H339" s="288"/>
      <c r="I339" s="288"/>
      <c r="J339" s="289"/>
    </row>
    <row r="340" spans="1:10" ht="30" customHeight="1">
      <c r="A340" s="385"/>
      <c r="B340" s="290"/>
      <c r="C340" s="291"/>
      <c r="D340" s="291"/>
      <c r="E340" s="291"/>
      <c r="F340" s="291"/>
      <c r="G340" s="291"/>
      <c r="H340" s="291"/>
      <c r="I340" s="291"/>
      <c r="J340" s="292"/>
    </row>
    <row r="341" spans="1:10">
      <c r="A341" s="287" t="s">
        <v>3</v>
      </c>
      <c r="B341" s="288"/>
      <c r="C341" s="288"/>
      <c r="D341" s="288"/>
      <c r="E341" s="288"/>
      <c r="F341" s="288"/>
      <c r="G341" s="288"/>
      <c r="H341" s="288"/>
      <c r="I341" s="288"/>
      <c r="J341" s="289"/>
    </row>
    <row r="342" spans="1:10">
      <c r="A342" s="290"/>
      <c r="B342" s="291"/>
      <c r="C342" s="291"/>
      <c r="D342" s="291"/>
      <c r="E342" s="291"/>
      <c r="F342" s="291"/>
      <c r="G342" s="291"/>
      <c r="H342" s="291"/>
      <c r="I342" s="291"/>
      <c r="J342" s="292"/>
    </row>
  </sheetData>
  <mergeCells count="313">
    <mergeCell ref="A1:J1"/>
    <mergeCell ref="A6:J6"/>
    <mergeCell ref="A7:J7"/>
    <mergeCell ref="D8:E8"/>
    <mergeCell ref="H8:I8"/>
    <mergeCell ref="D55:E55"/>
    <mergeCell ref="D148:E148"/>
    <mergeCell ref="A8:A50"/>
    <mergeCell ref="A55:A143"/>
    <mergeCell ref="A148:A340"/>
    <mergeCell ref="B9:B18"/>
    <mergeCell ref="B21:B33"/>
    <mergeCell ref="B36:B48"/>
    <mergeCell ref="B56:B81"/>
    <mergeCell ref="B84:B98"/>
    <mergeCell ref="B101:B141"/>
    <mergeCell ref="B149:B174"/>
    <mergeCell ref="B177:B206"/>
    <mergeCell ref="B209:B234"/>
    <mergeCell ref="B237:B256"/>
    <mergeCell ref="B259:B338"/>
    <mergeCell ref="C11:C12"/>
    <mergeCell ref="C13:C15"/>
    <mergeCell ref="C16:C18"/>
    <mergeCell ref="C22:C23"/>
    <mergeCell ref="C24:C26"/>
    <mergeCell ref="C27:C29"/>
    <mergeCell ref="C30:C33"/>
    <mergeCell ref="C36:C37"/>
    <mergeCell ref="C38:C39"/>
    <mergeCell ref="C40:C42"/>
    <mergeCell ref="C43:C45"/>
    <mergeCell ref="C46:C48"/>
    <mergeCell ref="C56:C60"/>
    <mergeCell ref="C61:C65"/>
    <mergeCell ref="C66:C71"/>
    <mergeCell ref="C72:C76"/>
    <mergeCell ref="C77:C81"/>
    <mergeCell ref="C84:C86"/>
    <mergeCell ref="C87:C89"/>
    <mergeCell ref="C90:C92"/>
    <mergeCell ref="C93:C95"/>
    <mergeCell ref="C96:C98"/>
    <mergeCell ref="C101:C109"/>
    <mergeCell ref="C110:C118"/>
    <mergeCell ref="C119:C127"/>
    <mergeCell ref="C128:C134"/>
    <mergeCell ref="C135:C141"/>
    <mergeCell ref="C149:C154"/>
    <mergeCell ref="C155:C159"/>
    <mergeCell ref="C160:C164"/>
    <mergeCell ref="C165:C169"/>
    <mergeCell ref="C170:C174"/>
    <mergeCell ref="C177:C182"/>
    <mergeCell ref="C183:C188"/>
    <mergeCell ref="C189:C194"/>
    <mergeCell ref="C195:C200"/>
    <mergeCell ref="C201:C206"/>
    <mergeCell ref="C209:C214"/>
    <mergeCell ref="C215:C219"/>
    <mergeCell ref="C220:C224"/>
    <mergeCell ref="C225:C229"/>
    <mergeCell ref="C230:C234"/>
    <mergeCell ref="C237:C240"/>
    <mergeCell ref="C241:C244"/>
    <mergeCell ref="C245:C248"/>
    <mergeCell ref="C249:C252"/>
    <mergeCell ref="C253:C256"/>
    <mergeCell ref="C259:C274"/>
    <mergeCell ref="C275:C290"/>
    <mergeCell ref="C291:C306"/>
    <mergeCell ref="C307:C322"/>
    <mergeCell ref="C323:C338"/>
    <mergeCell ref="D70:D71"/>
    <mergeCell ref="D85:D86"/>
    <mergeCell ref="D88:D89"/>
    <mergeCell ref="D91:D92"/>
    <mergeCell ref="D94:D95"/>
    <mergeCell ref="D97:D98"/>
    <mergeCell ref="D101:D109"/>
    <mergeCell ref="D110:D118"/>
    <mergeCell ref="D120:D127"/>
    <mergeCell ref="D129:D134"/>
    <mergeCell ref="D136:D141"/>
    <mergeCell ref="D149:D151"/>
    <mergeCell ref="D152:D154"/>
    <mergeCell ref="D155:D157"/>
    <mergeCell ref="D158:D159"/>
    <mergeCell ref="D160:D162"/>
    <mergeCell ref="D163:D164"/>
    <mergeCell ref="D165:D167"/>
    <mergeCell ref="D168:D169"/>
    <mergeCell ref="D170:D172"/>
    <mergeCell ref="D173:D174"/>
    <mergeCell ref="D181:D182"/>
    <mergeCell ref="D187:D188"/>
    <mergeCell ref="D193:D194"/>
    <mergeCell ref="D199:D200"/>
    <mergeCell ref="D205:D206"/>
    <mergeCell ref="D213:D214"/>
    <mergeCell ref="D237:D238"/>
    <mergeCell ref="D239:D240"/>
    <mergeCell ref="D241:D242"/>
    <mergeCell ref="D243:D244"/>
    <mergeCell ref="D245:D246"/>
    <mergeCell ref="D247:D248"/>
    <mergeCell ref="D249:D250"/>
    <mergeCell ref="D251:D252"/>
    <mergeCell ref="D253:D254"/>
    <mergeCell ref="D255:D256"/>
    <mergeCell ref="D259:D266"/>
    <mergeCell ref="D267:D274"/>
    <mergeCell ref="D275:D281"/>
    <mergeCell ref="D282:D290"/>
    <mergeCell ref="D291:D297"/>
    <mergeCell ref="D298:D306"/>
    <mergeCell ref="D307:D313"/>
    <mergeCell ref="D314:D322"/>
    <mergeCell ref="D323:D329"/>
    <mergeCell ref="D330:D338"/>
    <mergeCell ref="E70:E71"/>
    <mergeCell ref="E85:E86"/>
    <mergeCell ref="E88:E89"/>
    <mergeCell ref="E91:E92"/>
    <mergeCell ref="E94:E95"/>
    <mergeCell ref="E97:E98"/>
    <mergeCell ref="E101:E109"/>
    <mergeCell ref="E110:E118"/>
    <mergeCell ref="E120:E127"/>
    <mergeCell ref="E129:E134"/>
    <mergeCell ref="E136:E141"/>
    <mergeCell ref="E149:E151"/>
    <mergeCell ref="E152:E154"/>
    <mergeCell ref="E155:E157"/>
    <mergeCell ref="E158:E159"/>
    <mergeCell ref="E160:E162"/>
    <mergeCell ref="E163:E164"/>
    <mergeCell ref="E165:E167"/>
    <mergeCell ref="E168:E169"/>
    <mergeCell ref="E170:E172"/>
    <mergeCell ref="E173:E174"/>
    <mergeCell ref="E181:E182"/>
    <mergeCell ref="E187:E188"/>
    <mergeCell ref="E193:E194"/>
    <mergeCell ref="E199:E200"/>
    <mergeCell ref="E205:E206"/>
    <mergeCell ref="E213:E214"/>
    <mergeCell ref="E237:E238"/>
    <mergeCell ref="E239:E240"/>
    <mergeCell ref="E241:E242"/>
    <mergeCell ref="E243:E244"/>
    <mergeCell ref="E245:E246"/>
    <mergeCell ref="E247:E248"/>
    <mergeCell ref="E249:E250"/>
    <mergeCell ref="E251:E252"/>
    <mergeCell ref="E253:E254"/>
    <mergeCell ref="E255:E256"/>
    <mergeCell ref="E259:E266"/>
    <mergeCell ref="E267:E274"/>
    <mergeCell ref="E275:E281"/>
    <mergeCell ref="E282:E290"/>
    <mergeCell ref="E291:E297"/>
    <mergeCell ref="E298:E306"/>
    <mergeCell ref="E307:E313"/>
    <mergeCell ref="E314:E322"/>
    <mergeCell ref="E323:E329"/>
    <mergeCell ref="E330:E338"/>
    <mergeCell ref="F70:F71"/>
    <mergeCell ref="F85:F86"/>
    <mergeCell ref="F88:F89"/>
    <mergeCell ref="F91:F92"/>
    <mergeCell ref="F94:F95"/>
    <mergeCell ref="F97:F98"/>
    <mergeCell ref="F101:F109"/>
    <mergeCell ref="F110:F118"/>
    <mergeCell ref="F120:F127"/>
    <mergeCell ref="F129:F134"/>
    <mergeCell ref="F136:F141"/>
    <mergeCell ref="F149:F151"/>
    <mergeCell ref="F152:F154"/>
    <mergeCell ref="F155:F157"/>
    <mergeCell ref="F158:F159"/>
    <mergeCell ref="F160:F162"/>
    <mergeCell ref="F163:F164"/>
    <mergeCell ref="F165:F167"/>
    <mergeCell ref="F168:F169"/>
    <mergeCell ref="F170:F172"/>
    <mergeCell ref="F173:F174"/>
    <mergeCell ref="F181:F182"/>
    <mergeCell ref="F187:F188"/>
    <mergeCell ref="F193:F194"/>
    <mergeCell ref="F199:F200"/>
    <mergeCell ref="F205:F206"/>
    <mergeCell ref="F213:F214"/>
    <mergeCell ref="F237:F238"/>
    <mergeCell ref="F239:F240"/>
    <mergeCell ref="F241:F242"/>
    <mergeCell ref="F243:F244"/>
    <mergeCell ref="F245:F246"/>
    <mergeCell ref="F247:F248"/>
    <mergeCell ref="F249:F250"/>
    <mergeCell ref="F251:F252"/>
    <mergeCell ref="F253:F254"/>
    <mergeCell ref="F255:F256"/>
    <mergeCell ref="F259:F266"/>
    <mergeCell ref="F267:F274"/>
    <mergeCell ref="F275:F281"/>
    <mergeCell ref="F282:F290"/>
    <mergeCell ref="F291:F297"/>
    <mergeCell ref="F298:F306"/>
    <mergeCell ref="F307:F313"/>
    <mergeCell ref="F314:F322"/>
    <mergeCell ref="F323:F329"/>
    <mergeCell ref="F330:F338"/>
    <mergeCell ref="G11:G12"/>
    <mergeCell ref="G13:G15"/>
    <mergeCell ref="G16:G18"/>
    <mergeCell ref="G22:G23"/>
    <mergeCell ref="G24:G26"/>
    <mergeCell ref="G27:G29"/>
    <mergeCell ref="G30:G33"/>
    <mergeCell ref="G36:G37"/>
    <mergeCell ref="G38:G39"/>
    <mergeCell ref="G40:G42"/>
    <mergeCell ref="G43:G45"/>
    <mergeCell ref="G46:G48"/>
    <mergeCell ref="G56:G60"/>
    <mergeCell ref="G61:G65"/>
    <mergeCell ref="G66:G71"/>
    <mergeCell ref="G72:G76"/>
    <mergeCell ref="G77:G81"/>
    <mergeCell ref="G189:G194"/>
    <mergeCell ref="G84:G86"/>
    <mergeCell ref="G87:G89"/>
    <mergeCell ref="G90:G92"/>
    <mergeCell ref="G93:G95"/>
    <mergeCell ref="G96:G98"/>
    <mergeCell ref="G101:G109"/>
    <mergeCell ref="G110:G118"/>
    <mergeCell ref="G119:G127"/>
    <mergeCell ref="G128:G134"/>
    <mergeCell ref="H40:H42"/>
    <mergeCell ref="H43:H45"/>
    <mergeCell ref="H46:H48"/>
    <mergeCell ref="H213:H214"/>
    <mergeCell ref="H231:H233"/>
    <mergeCell ref="H325:H326"/>
    <mergeCell ref="H337:H338"/>
    <mergeCell ref="G195:G200"/>
    <mergeCell ref="G201:G206"/>
    <mergeCell ref="G209:G214"/>
    <mergeCell ref="G215:G219"/>
    <mergeCell ref="G220:G224"/>
    <mergeCell ref="G225:G229"/>
    <mergeCell ref="G230:G234"/>
    <mergeCell ref="G237:G240"/>
    <mergeCell ref="G241:G244"/>
    <mergeCell ref="G135:G141"/>
    <mergeCell ref="G149:G154"/>
    <mergeCell ref="G155:G159"/>
    <mergeCell ref="G160:G164"/>
    <mergeCell ref="G165:G169"/>
    <mergeCell ref="G170:G174"/>
    <mergeCell ref="G177:G182"/>
    <mergeCell ref="G183:G188"/>
    <mergeCell ref="J213:J214"/>
    <mergeCell ref="J231:J233"/>
    <mergeCell ref="J325:J326"/>
    <mergeCell ref="J337:J338"/>
    <mergeCell ref="B257:J258"/>
    <mergeCell ref="I11:I12"/>
    <mergeCell ref="I13:I15"/>
    <mergeCell ref="I16:I18"/>
    <mergeCell ref="I22:I23"/>
    <mergeCell ref="I24:I26"/>
    <mergeCell ref="I27:I29"/>
    <mergeCell ref="I30:I33"/>
    <mergeCell ref="I36:I37"/>
    <mergeCell ref="I38:I39"/>
    <mergeCell ref="G245:G248"/>
    <mergeCell ref="G249:G252"/>
    <mergeCell ref="G253:G256"/>
    <mergeCell ref="G259:G274"/>
    <mergeCell ref="G275:G290"/>
    <mergeCell ref="G291:G306"/>
    <mergeCell ref="G307:G322"/>
    <mergeCell ref="G323:G338"/>
    <mergeCell ref="H36:H37"/>
    <mergeCell ref="H38:H39"/>
    <mergeCell ref="B339:J340"/>
    <mergeCell ref="A341:J342"/>
    <mergeCell ref="B207:J208"/>
    <mergeCell ref="B235:J236"/>
    <mergeCell ref="B175:J176"/>
    <mergeCell ref="A4:J5"/>
    <mergeCell ref="A2:J3"/>
    <mergeCell ref="A51:J52"/>
    <mergeCell ref="B19:J20"/>
    <mergeCell ref="B34:J35"/>
    <mergeCell ref="B49:J50"/>
    <mergeCell ref="B99:J100"/>
    <mergeCell ref="A144:J145"/>
    <mergeCell ref="B142:J143"/>
    <mergeCell ref="A146:J147"/>
    <mergeCell ref="A53:J54"/>
    <mergeCell ref="B82:J83"/>
    <mergeCell ref="I40:I42"/>
    <mergeCell ref="I43:I45"/>
    <mergeCell ref="I46:I48"/>
    <mergeCell ref="I213:I214"/>
    <mergeCell ref="I231:I233"/>
    <mergeCell ref="I325:I326"/>
    <mergeCell ref="I337:I338"/>
  </mergeCells>
  <pageMargins left="0.7" right="0.7" top="0.75" bottom="0.75" header="0.3" footer="0.3"/>
  <pageSetup paperSize="9" scale="38" fitToHeight="0" orientation="portrait" r:id="rId1"/>
  <customProperties>
    <customPr name="EpmWorksheetKeyString_GUID" r:id="rId2"/>
  </customProperties>
  <drawing r:id="rId3"/>
  <legacyDrawing r:id="rId4"/>
  <controls>
    <mc:AlternateContent xmlns:mc="http://schemas.openxmlformats.org/markup-compatibility/2006">
      <mc:Choice Requires="x14">
        <control shapeId="9221" r:id="rId5" name="Opt1_1_2">
          <controlPr defaultSize="0" altText="" r:id="rId6">
            <anchor moveWithCells="1">
              <from>
                <xdr:col>2</xdr:col>
                <xdr:colOff>381000</xdr:colOff>
                <xdr:row>9</xdr:row>
                <xdr:rowOff>57150</xdr:rowOff>
              </from>
              <to>
                <xdr:col>2</xdr:col>
                <xdr:colOff>546100</xdr:colOff>
                <xdr:row>9</xdr:row>
                <xdr:rowOff>241300</xdr:rowOff>
              </to>
            </anchor>
          </controlPr>
        </control>
      </mc:Choice>
      <mc:Fallback>
        <control shapeId="9221" r:id="rId5" name="Opt1_1_2"/>
      </mc:Fallback>
    </mc:AlternateContent>
    <mc:AlternateContent xmlns:mc="http://schemas.openxmlformats.org/markup-compatibility/2006">
      <mc:Choice Requires="x14">
        <control shapeId="9222" r:id="rId7" name="Opt1_1_1">
          <controlPr defaultSize="0" altText="" r:id="rId8">
            <anchor moveWithCells="1">
              <from>
                <xdr:col>2</xdr:col>
                <xdr:colOff>381000</xdr:colOff>
                <xdr:row>8</xdr:row>
                <xdr:rowOff>19050</xdr:rowOff>
              </from>
              <to>
                <xdr:col>2</xdr:col>
                <xdr:colOff>546100</xdr:colOff>
                <xdr:row>8</xdr:row>
                <xdr:rowOff>203200</xdr:rowOff>
              </to>
            </anchor>
          </controlPr>
        </control>
      </mc:Choice>
      <mc:Fallback>
        <control shapeId="9222" r:id="rId7" name="Opt1_1_1"/>
      </mc:Fallback>
    </mc:AlternateContent>
    <mc:AlternateContent xmlns:mc="http://schemas.openxmlformats.org/markup-compatibility/2006">
      <mc:Choice Requires="x14">
        <control shapeId="9224" r:id="rId9" name="Opt1_1_3">
          <controlPr defaultSize="0" altText="" r:id="rId6">
            <anchor moveWithCells="1">
              <from>
                <xdr:col>2</xdr:col>
                <xdr:colOff>393700</xdr:colOff>
                <xdr:row>10</xdr:row>
                <xdr:rowOff>279400</xdr:rowOff>
              </from>
              <to>
                <xdr:col>2</xdr:col>
                <xdr:colOff>558800</xdr:colOff>
                <xdr:row>10</xdr:row>
                <xdr:rowOff>463550</xdr:rowOff>
              </to>
            </anchor>
          </controlPr>
        </control>
      </mc:Choice>
      <mc:Fallback>
        <control shapeId="9224" r:id="rId9" name="Opt1_1_3"/>
      </mc:Fallback>
    </mc:AlternateContent>
    <mc:AlternateContent xmlns:mc="http://schemas.openxmlformats.org/markup-compatibility/2006">
      <mc:Choice Requires="x14">
        <control shapeId="9225" r:id="rId10" name="Opt1_1_4">
          <controlPr defaultSize="0" altText="" r:id="rId6">
            <anchor moveWithCells="1">
              <from>
                <xdr:col>2</xdr:col>
                <xdr:colOff>381000</xdr:colOff>
                <xdr:row>12</xdr:row>
                <xdr:rowOff>393700</xdr:rowOff>
              </from>
              <to>
                <xdr:col>2</xdr:col>
                <xdr:colOff>546100</xdr:colOff>
                <xdr:row>12</xdr:row>
                <xdr:rowOff>577850</xdr:rowOff>
              </to>
            </anchor>
          </controlPr>
        </control>
      </mc:Choice>
      <mc:Fallback>
        <control shapeId="9225" r:id="rId10" name="Opt1_1_4"/>
      </mc:Fallback>
    </mc:AlternateContent>
    <mc:AlternateContent xmlns:mc="http://schemas.openxmlformats.org/markup-compatibility/2006">
      <mc:Choice Requires="x14">
        <control shapeId="9226" r:id="rId11" name="Opt1_1_5">
          <controlPr defaultSize="0" altText="" r:id="rId6">
            <anchor moveWithCells="1">
              <from>
                <xdr:col>2</xdr:col>
                <xdr:colOff>400050</xdr:colOff>
                <xdr:row>15</xdr:row>
                <xdr:rowOff>298450</xdr:rowOff>
              </from>
              <to>
                <xdr:col>2</xdr:col>
                <xdr:colOff>565150</xdr:colOff>
                <xdr:row>15</xdr:row>
                <xdr:rowOff>482600</xdr:rowOff>
              </to>
            </anchor>
          </controlPr>
        </control>
      </mc:Choice>
      <mc:Fallback>
        <control shapeId="9226" r:id="rId11" name="Opt1_1_5"/>
      </mc:Fallback>
    </mc:AlternateContent>
    <mc:AlternateContent xmlns:mc="http://schemas.openxmlformats.org/markup-compatibility/2006">
      <mc:Choice Requires="x14">
        <control shapeId="9227" r:id="rId12" name="Opt1_2_1">
          <controlPr defaultSize="0" altText="" r:id="rId6">
            <anchor moveWithCells="1">
              <from>
                <xdr:col>2</xdr:col>
                <xdr:colOff>374650</xdr:colOff>
                <xdr:row>20</xdr:row>
                <xdr:rowOff>114300</xdr:rowOff>
              </from>
              <to>
                <xdr:col>2</xdr:col>
                <xdr:colOff>539750</xdr:colOff>
                <xdr:row>20</xdr:row>
                <xdr:rowOff>298450</xdr:rowOff>
              </to>
            </anchor>
          </controlPr>
        </control>
      </mc:Choice>
      <mc:Fallback>
        <control shapeId="9227" r:id="rId12" name="Opt1_2_1"/>
      </mc:Fallback>
    </mc:AlternateContent>
    <mc:AlternateContent xmlns:mc="http://schemas.openxmlformats.org/markup-compatibility/2006">
      <mc:Choice Requires="x14">
        <control shapeId="9228" r:id="rId13" name="Opt1_2_2">
          <controlPr defaultSize="0" altText="" r:id="rId6">
            <anchor moveWithCells="1">
              <from>
                <xdr:col>2</xdr:col>
                <xdr:colOff>381000</xdr:colOff>
                <xdr:row>21</xdr:row>
                <xdr:rowOff>152400</xdr:rowOff>
              </from>
              <to>
                <xdr:col>2</xdr:col>
                <xdr:colOff>546100</xdr:colOff>
                <xdr:row>21</xdr:row>
                <xdr:rowOff>336550</xdr:rowOff>
              </to>
            </anchor>
          </controlPr>
        </control>
      </mc:Choice>
      <mc:Fallback>
        <control shapeId="9228" r:id="rId13" name="Opt1_2_2"/>
      </mc:Fallback>
    </mc:AlternateContent>
    <mc:AlternateContent xmlns:mc="http://schemas.openxmlformats.org/markup-compatibility/2006">
      <mc:Choice Requires="x14">
        <control shapeId="9229" r:id="rId14" name="Opt1_2_3">
          <controlPr defaultSize="0" altText="" r:id="rId6">
            <anchor moveWithCells="1">
              <from>
                <xdr:col>2</xdr:col>
                <xdr:colOff>374650</xdr:colOff>
                <xdr:row>23</xdr:row>
                <xdr:rowOff>127000</xdr:rowOff>
              </from>
              <to>
                <xdr:col>2</xdr:col>
                <xdr:colOff>539750</xdr:colOff>
                <xdr:row>23</xdr:row>
                <xdr:rowOff>311150</xdr:rowOff>
              </to>
            </anchor>
          </controlPr>
        </control>
      </mc:Choice>
      <mc:Fallback>
        <control shapeId="9229" r:id="rId14" name="Opt1_2_3"/>
      </mc:Fallback>
    </mc:AlternateContent>
    <mc:AlternateContent xmlns:mc="http://schemas.openxmlformats.org/markup-compatibility/2006">
      <mc:Choice Requires="x14">
        <control shapeId="9230" r:id="rId15" name="Opt1_2_4">
          <controlPr defaultSize="0" altText="" r:id="rId8">
            <anchor moveWithCells="1">
              <from>
                <xdr:col>2</xdr:col>
                <xdr:colOff>374650</xdr:colOff>
                <xdr:row>26</xdr:row>
                <xdr:rowOff>184150</xdr:rowOff>
              </from>
              <to>
                <xdr:col>2</xdr:col>
                <xdr:colOff>539750</xdr:colOff>
                <xdr:row>26</xdr:row>
                <xdr:rowOff>368300</xdr:rowOff>
              </to>
            </anchor>
          </controlPr>
        </control>
      </mc:Choice>
      <mc:Fallback>
        <control shapeId="9230" r:id="rId15" name="Opt1_2_4"/>
      </mc:Fallback>
    </mc:AlternateContent>
    <mc:AlternateContent xmlns:mc="http://schemas.openxmlformats.org/markup-compatibility/2006">
      <mc:Choice Requires="x14">
        <control shapeId="9231" r:id="rId16" name="Opt1_2_5">
          <controlPr defaultSize="0" altText="" r:id="rId17">
            <anchor moveWithCells="1">
              <from>
                <xdr:col>2</xdr:col>
                <xdr:colOff>361950</xdr:colOff>
                <xdr:row>30</xdr:row>
                <xdr:rowOff>0</xdr:rowOff>
              </from>
              <to>
                <xdr:col>2</xdr:col>
                <xdr:colOff>527050</xdr:colOff>
                <xdr:row>31</xdr:row>
                <xdr:rowOff>38100</xdr:rowOff>
              </to>
            </anchor>
          </controlPr>
        </control>
      </mc:Choice>
      <mc:Fallback>
        <control shapeId="9231" r:id="rId16" name="Opt1_2_5"/>
      </mc:Fallback>
    </mc:AlternateContent>
    <mc:AlternateContent xmlns:mc="http://schemas.openxmlformats.org/markup-compatibility/2006">
      <mc:Choice Requires="x14">
        <control shapeId="9232" r:id="rId18" name="Opt1_3_1">
          <controlPr defaultSize="0" altText="" r:id="rId17">
            <anchor moveWithCells="1">
              <from>
                <xdr:col>2</xdr:col>
                <xdr:colOff>381000</xdr:colOff>
                <xdr:row>35</xdr:row>
                <xdr:rowOff>127000</xdr:rowOff>
              </from>
              <to>
                <xdr:col>2</xdr:col>
                <xdr:colOff>546100</xdr:colOff>
                <xdr:row>35</xdr:row>
                <xdr:rowOff>317500</xdr:rowOff>
              </to>
            </anchor>
          </controlPr>
        </control>
      </mc:Choice>
      <mc:Fallback>
        <control shapeId="9232" r:id="rId18" name="Opt1_3_1"/>
      </mc:Fallback>
    </mc:AlternateContent>
    <mc:AlternateContent xmlns:mc="http://schemas.openxmlformats.org/markup-compatibility/2006">
      <mc:Choice Requires="x14">
        <control shapeId="9233" r:id="rId19" name="Opt1_3_2">
          <controlPr defaultSize="0" altText="" r:id="rId17">
            <anchor moveWithCells="1">
              <from>
                <xdr:col>2</xdr:col>
                <xdr:colOff>381000</xdr:colOff>
                <xdr:row>37</xdr:row>
                <xdr:rowOff>133350</xdr:rowOff>
              </from>
              <to>
                <xdr:col>2</xdr:col>
                <xdr:colOff>546100</xdr:colOff>
                <xdr:row>37</xdr:row>
                <xdr:rowOff>323850</xdr:rowOff>
              </to>
            </anchor>
          </controlPr>
        </control>
      </mc:Choice>
      <mc:Fallback>
        <control shapeId="9233" r:id="rId19" name="Opt1_3_2"/>
      </mc:Fallback>
    </mc:AlternateContent>
    <mc:AlternateContent xmlns:mc="http://schemas.openxmlformats.org/markup-compatibility/2006">
      <mc:Choice Requires="x14">
        <control shapeId="9234" r:id="rId20" name="Opt1_3_3">
          <controlPr defaultSize="0" altText="" r:id="rId17">
            <anchor moveWithCells="1">
              <from>
                <xdr:col>2</xdr:col>
                <xdr:colOff>381000</xdr:colOff>
                <xdr:row>39</xdr:row>
                <xdr:rowOff>317500</xdr:rowOff>
              </from>
              <to>
                <xdr:col>2</xdr:col>
                <xdr:colOff>546100</xdr:colOff>
                <xdr:row>40</xdr:row>
                <xdr:rowOff>69850</xdr:rowOff>
              </to>
            </anchor>
          </controlPr>
        </control>
      </mc:Choice>
      <mc:Fallback>
        <control shapeId="9234" r:id="rId20" name="Opt1_3_3"/>
      </mc:Fallback>
    </mc:AlternateContent>
    <mc:AlternateContent xmlns:mc="http://schemas.openxmlformats.org/markup-compatibility/2006">
      <mc:Choice Requires="x14">
        <control shapeId="9235" r:id="rId21" name="Opt1_3_4">
          <controlPr defaultSize="0" altText="" r:id="rId17">
            <anchor moveWithCells="1">
              <from>
                <xdr:col>2</xdr:col>
                <xdr:colOff>381000</xdr:colOff>
                <xdr:row>42</xdr:row>
                <xdr:rowOff>241300</xdr:rowOff>
              </from>
              <to>
                <xdr:col>2</xdr:col>
                <xdr:colOff>546100</xdr:colOff>
                <xdr:row>43</xdr:row>
                <xdr:rowOff>139700</xdr:rowOff>
              </to>
            </anchor>
          </controlPr>
        </control>
      </mc:Choice>
      <mc:Fallback>
        <control shapeId="9235" r:id="rId21" name="Opt1_3_4"/>
      </mc:Fallback>
    </mc:AlternateContent>
    <mc:AlternateContent xmlns:mc="http://schemas.openxmlformats.org/markup-compatibility/2006">
      <mc:Choice Requires="x14">
        <control shapeId="9236" r:id="rId22" name="Opt1_3_5">
          <controlPr defaultSize="0" altText="" r:id="rId23">
            <anchor moveWithCells="1">
              <from>
                <xdr:col>2</xdr:col>
                <xdr:colOff>381000</xdr:colOff>
                <xdr:row>45</xdr:row>
                <xdr:rowOff>133350</xdr:rowOff>
              </from>
              <to>
                <xdr:col>2</xdr:col>
                <xdr:colOff>546100</xdr:colOff>
                <xdr:row>46</xdr:row>
                <xdr:rowOff>31750</xdr:rowOff>
              </to>
            </anchor>
          </controlPr>
        </control>
      </mc:Choice>
      <mc:Fallback>
        <control shapeId="9236" r:id="rId22" name="Opt1_3_5"/>
      </mc:Fallback>
    </mc:AlternateContent>
    <mc:AlternateContent xmlns:mc="http://schemas.openxmlformats.org/markup-compatibility/2006">
      <mc:Choice Requires="x14">
        <control shapeId="9237" r:id="rId24" name="Opt1_4_1">
          <controlPr defaultSize="0" altText="" r:id="rId6">
            <anchor moveWithCells="1">
              <from>
                <xdr:col>2</xdr:col>
                <xdr:colOff>361950</xdr:colOff>
                <xdr:row>56</xdr:row>
                <xdr:rowOff>95250</xdr:rowOff>
              </from>
              <to>
                <xdr:col>2</xdr:col>
                <xdr:colOff>527050</xdr:colOff>
                <xdr:row>57</xdr:row>
                <xdr:rowOff>133350</xdr:rowOff>
              </to>
            </anchor>
          </controlPr>
        </control>
      </mc:Choice>
      <mc:Fallback>
        <control shapeId="9237" r:id="rId24" name="Opt1_4_1"/>
      </mc:Fallback>
    </mc:AlternateContent>
    <mc:AlternateContent xmlns:mc="http://schemas.openxmlformats.org/markup-compatibility/2006">
      <mc:Choice Requires="x14">
        <control shapeId="9238" r:id="rId25" name="Opt1_4_2">
          <controlPr defaultSize="0" altText="" r:id="rId6">
            <anchor moveWithCells="1">
              <from>
                <xdr:col>2</xdr:col>
                <xdr:colOff>374650</xdr:colOff>
                <xdr:row>61</xdr:row>
                <xdr:rowOff>12700</xdr:rowOff>
              </from>
              <to>
                <xdr:col>2</xdr:col>
                <xdr:colOff>539750</xdr:colOff>
                <xdr:row>62</xdr:row>
                <xdr:rowOff>44450</xdr:rowOff>
              </to>
            </anchor>
          </controlPr>
        </control>
      </mc:Choice>
      <mc:Fallback>
        <control shapeId="9238" r:id="rId25" name="Opt1_4_2"/>
      </mc:Fallback>
    </mc:AlternateContent>
    <mc:AlternateContent xmlns:mc="http://schemas.openxmlformats.org/markup-compatibility/2006">
      <mc:Choice Requires="x14">
        <control shapeId="9239" r:id="rId26" name="Opt1_4_3">
          <controlPr defaultSize="0" altText="" r:id="rId8">
            <anchor moveWithCells="1">
              <from>
                <xdr:col>2</xdr:col>
                <xdr:colOff>374650</xdr:colOff>
                <xdr:row>67</xdr:row>
                <xdr:rowOff>38100</xdr:rowOff>
              </from>
              <to>
                <xdr:col>2</xdr:col>
                <xdr:colOff>539750</xdr:colOff>
                <xdr:row>67</xdr:row>
                <xdr:rowOff>222250</xdr:rowOff>
              </to>
            </anchor>
          </controlPr>
        </control>
      </mc:Choice>
      <mc:Fallback>
        <control shapeId="9239" r:id="rId26" name="Opt1_4_3"/>
      </mc:Fallback>
    </mc:AlternateContent>
    <mc:AlternateContent xmlns:mc="http://schemas.openxmlformats.org/markup-compatibility/2006">
      <mc:Choice Requires="x14">
        <control shapeId="9240" r:id="rId27" name="Opt1_4_4">
          <controlPr defaultSize="0" altText="" r:id="rId17">
            <anchor moveWithCells="1">
              <from>
                <xdr:col>2</xdr:col>
                <xdr:colOff>361950</xdr:colOff>
                <xdr:row>72</xdr:row>
                <xdr:rowOff>241300</xdr:rowOff>
              </from>
              <to>
                <xdr:col>2</xdr:col>
                <xdr:colOff>527050</xdr:colOff>
                <xdr:row>73</xdr:row>
                <xdr:rowOff>139700</xdr:rowOff>
              </to>
            </anchor>
          </controlPr>
        </control>
      </mc:Choice>
      <mc:Fallback>
        <control shapeId="9240" r:id="rId27" name="Opt1_4_4"/>
      </mc:Fallback>
    </mc:AlternateContent>
    <mc:AlternateContent xmlns:mc="http://schemas.openxmlformats.org/markup-compatibility/2006">
      <mc:Choice Requires="x14">
        <control shapeId="9241" r:id="rId28" name="Opt1_4_5">
          <controlPr defaultSize="0" altText="" r:id="rId17">
            <anchor moveWithCells="1">
              <from>
                <xdr:col>2</xdr:col>
                <xdr:colOff>393700</xdr:colOff>
                <xdr:row>77</xdr:row>
                <xdr:rowOff>146050</xdr:rowOff>
              </from>
              <to>
                <xdr:col>2</xdr:col>
                <xdr:colOff>558800</xdr:colOff>
                <xdr:row>78</xdr:row>
                <xdr:rowOff>184150</xdr:rowOff>
              </to>
            </anchor>
          </controlPr>
        </control>
      </mc:Choice>
      <mc:Fallback>
        <control shapeId="9241" r:id="rId28" name="Opt1_4_5"/>
      </mc:Fallback>
    </mc:AlternateContent>
    <mc:AlternateContent xmlns:mc="http://schemas.openxmlformats.org/markup-compatibility/2006">
      <mc:Choice Requires="x14">
        <control shapeId="9242" r:id="rId29" name="Opt1_4_2_1">
          <controlPr defaultSize="0" altText="" r:id="rId6">
            <anchor moveWithCells="1">
              <from>
                <xdr:col>6</xdr:col>
                <xdr:colOff>355600</xdr:colOff>
                <xdr:row>56</xdr:row>
                <xdr:rowOff>76200</xdr:rowOff>
              </from>
              <to>
                <xdr:col>6</xdr:col>
                <xdr:colOff>520700</xdr:colOff>
                <xdr:row>57</xdr:row>
                <xdr:rowOff>114300</xdr:rowOff>
              </to>
            </anchor>
          </controlPr>
        </control>
      </mc:Choice>
      <mc:Fallback>
        <control shapeId="9242" r:id="rId29" name="Opt1_4_2_1"/>
      </mc:Fallback>
    </mc:AlternateContent>
    <mc:AlternateContent xmlns:mc="http://schemas.openxmlformats.org/markup-compatibility/2006">
      <mc:Choice Requires="x14">
        <control shapeId="9243" r:id="rId30" name="Opt1_4_2_2">
          <controlPr defaultSize="0" altText="" r:id="rId31">
            <anchor moveWithCells="1">
              <from>
                <xdr:col>6</xdr:col>
                <xdr:colOff>374650</xdr:colOff>
                <xdr:row>61</xdr:row>
                <xdr:rowOff>12700</xdr:rowOff>
              </from>
              <to>
                <xdr:col>6</xdr:col>
                <xdr:colOff>533400</xdr:colOff>
                <xdr:row>62</xdr:row>
                <xdr:rowOff>44450</xdr:rowOff>
              </to>
            </anchor>
          </controlPr>
        </control>
      </mc:Choice>
      <mc:Fallback>
        <control shapeId="9243" r:id="rId30" name="Opt1_4_2_2"/>
      </mc:Fallback>
    </mc:AlternateContent>
    <mc:AlternateContent xmlns:mc="http://schemas.openxmlformats.org/markup-compatibility/2006">
      <mc:Choice Requires="x14">
        <control shapeId="9244" r:id="rId32" name="Opt1_4_2_3">
          <controlPr defaultSize="0" altText="" r:id="rId17">
            <anchor moveWithCells="1">
              <from>
                <xdr:col>6</xdr:col>
                <xdr:colOff>374650</xdr:colOff>
                <xdr:row>67</xdr:row>
                <xdr:rowOff>0</xdr:rowOff>
              </from>
              <to>
                <xdr:col>6</xdr:col>
                <xdr:colOff>539750</xdr:colOff>
                <xdr:row>67</xdr:row>
                <xdr:rowOff>190500</xdr:rowOff>
              </to>
            </anchor>
          </controlPr>
        </control>
      </mc:Choice>
      <mc:Fallback>
        <control shapeId="9244" r:id="rId32" name="Opt1_4_2_3"/>
      </mc:Fallback>
    </mc:AlternateContent>
    <mc:AlternateContent xmlns:mc="http://schemas.openxmlformats.org/markup-compatibility/2006">
      <mc:Choice Requires="x14">
        <control shapeId="9245" r:id="rId33" name="Opt1_4_2_4">
          <controlPr defaultSize="0" altText="" r:id="rId6">
            <anchor moveWithCells="1">
              <from>
                <xdr:col>6</xdr:col>
                <xdr:colOff>355600</xdr:colOff>
                <xdr:row>72</xdr:row>
                <xdr:rowOff>209550</xdr:rowOff>
              </from>
              <to>
                <xdr:col>6</xdr:col>
                <xdr:colOff>520700</xdr:colOff>
                <xdr:row>73</xdr:row>
                <xdr:rowOff>101600</xdr:rowOff>
              </to>
            </anchor>
          </controlPr>
        </control>
      </mc:Choice>
      <mc:Fallback>
        <control shapeId="9245" r:id="rId33" name="Opt1_4_2_4"/>
      </mc:Fallback>
    </mc:AlternateContent>
    <mc:AlternateContent xmlns:mc="http://schemas.openxmlformats.org/markup-compatibility/2006">
      <mc:Choice Requires="x14">
        <control shapeId="9246" r:id="rId34" name="Opt1_4_2_5">
          <controlPr defaultSize="0" altText="" r:id="rId6">
            <anchor moveWithCells="1">
              <from>
                <xdr:col>6</xdr:col>
                <xdr:colOff>355600</xdr:colOff>
                <xdr:row>77</xdr:row>
                <xdr:rowOff>146050</xdr:rowOff>
              </from>
              <to>
                <xdr:col>6</xdr:col>
                <xdr:colOff>520700</xdr:colOff>
                <xdr:row>78</xdr:row>
                <xdr:rowOff>177800</xdr:rowOff>
              </to>
            </anchor>
          </controlPr>
        </control>
      </mc:Choice>
      <mc:Fallback>
        <control shapeId="9246" r:id="rId34" name="Opt1_4_2_5"/>
      </mc:Fallback>
    </mc:AlternateContent>
    <mc:AlternateContent xmlns:mc="http://schemas.openxmlformats.org/markup-compatibility/2006">
      <mc:Choice Requires="x14">
        <control shapeId="9247" r:id="rId35" name="Opt1_5_1">
          <controlPr defaultSize="0" altText="" r:id="rId23">
            <anchor moveWithCells="1">
              <from>
                <xdr:col>2</xdr:col>
                <xdr:colOff>361950</xdr:colOff>
                <xdr:row>83</xdr:row>
                <xdr:rowOff>222250</xdr:rowOff>
              </from>
              <to>
                <xdr:col>2</xdr:col>
                <xdr:colOff>527050</xdr:colOff>
                <xdr:row>83</xdr:row>
                <xdr:rowOff>412750</xdr:rowOff>
              </to>
            </anchor>
          </controlPr>
        </control>
      </mc:Choice>
      <mc:Fallback>
        <control shapeId="9247" r:id="rId35" name="Opt1_5_1"/>
      </mc:Fallback>
    </mc:AlternateContent>
    <mc:AlternateContent xmlns:mc="http://schemas.openxmlformats.org/markup-compatibility/2006">
      <mc:Choice Requires="x14">
        <control shapeId="9248" r:id="rId36" name="Opt1_5_2">
          <controlPr defaultSize="0" altText="" r:id="rId17">
            <anchor moveWithCells="1">
              <from>
                <xdr:col>2</xdr:col>
                <xdr:colOff>361950</xdr:colOff>
                <xdr:row>86</xdr:row>
                <xdr:rowOff>222250</xdr:rowOff>
              </from>
              <to>
                <xdr:col>2</xdr:col>
                <xdr:colOff>527050</xdr:colOff>
                <xdr:row>86</xdr:row>
                <xdr:rowOff>412750</xdr:rowOff>
              </to>
            </anchor>
          </controlPr>
        </control>
      </mc:Choice>
      <mc:Fallback>
        <control shapeId="9248" r:id="rId36" name="Opt1_5_2"/>
      </mc:Fallback>
    </mc:AlternateContent>
    <mc:AlternateContent xmlns:mc="http://schemas.openxmlformats.org/markup-compatibility/2006">
      <mc:Choice Requires="x14">
        <control shapeId="9249" r:id="rId37" name="Opt1_5_3">
          <controlPr defaultSize="0" altText="" r:id="rId6">
            <anchor moveWithCells="1">
              <from>
                <xdr:col>2</xdr:col>
                <xdr:colOff>381000</xdr:colOff>
                <xdr:row>89</xdr:row>
                <xdr:rowOff>304800</xdr:rowOff>
              </from>
              <to>
                <xdr:col>2</xdr:col>
                <xdr:colOff>546100</xdr:colOff>
                <xdr:row>90</xdr:row>
                <xdr:rowOff>63500</xdr:rowOff>
              </to>
            </anchor>
          </controlPr>
        </control>
      </mc:Choice>
      <mc:Fallback>
        <control shapeId="9249" r:id="rId37" name="Opt1_5_3"/>
      </mc:Fallback>
    </mc:AlternateContent>
    <mc:AlternateContent xmlns:mc="http://schemas.openxmlformats.org/markup-compatibility/2006">
      <mc:Choice Requires="x14">
        <control shapeId="9250" r:id="rId38" name="Opt1_5_4">
          <controlPr defaultSize="0" altText="" r:id="rId17">
            <anchor moveWithCells="1">
              <from>
                <xdr:col>2</xdr:col>
                <xdr:colOff>361950</xdr:colOff>
                <xdr:row>92</xdr:row>
                <xdr:rowOff>222250</xdr:rowOff>
              </from>
              <to>
                <xdr:col>2</xdr:col>
                <xdr:colOff>527050</xdr:colOff>
                <xdr:row>93</xdr:row>
                <xdr:rowOff>12700</xdr:rowOff>
              </to>
            </anchor>
          </controlPr>
        </control>
      </mc:Choice>
      <mc:Fallback>
        <control shapeId="9250" r:id="rId38" name="Opt1_5_4"/>
      </mc:Fallback>
    </mc:AlternateContent>
    <mc:AlternateContent xmlns:mc="http://schemas.openxmlformats.org/markup-compatibility/2006">
      <mc:Choice Requires="x14">
        <control shapeId="9251" r:id="rId39" name="Opt1_5_5">
          <controlPr defaultSize="0" altText="" r:id="rId17">
            <anchor moveWithCells="1">
              <from>
                <xdr:col>2</xdr:col>
                <xdr:colOff>361950</xdr:colOff>
                <xdr:row>95</xdr:row>
                <xdr:rowOff>222250</xdr:rowOff>
              </from>
              <to>
                <xdr:col>2</xdr:col>
                <xdr:colOff>527050</xdr:colOff>
                <xdr:row>95</xdr:row>
                <xdr:rowOff>412750</xdr:rowOff>
              </to>
            </anchor>
          </controlPr>
        </control>
      </mc:Choice>
      <mc:Fallback>
        <control shapeId="9251" r:id="rId39" name="Opt1_5_5"/>
      </mc:Fallback>
    </mc:AlternateContent>
    <mc:AlternateContent xmlns:mc="http://schemas.openxmlformats.org/markup-compatibility/2006">
      <mc:Choice Requires="x14">
        <control shapeId="9252" r:id="rId40" name="Opt1_5_2_1">
          <controlPr defaultSize="0" altText="" r:id="rId17">
            <anchor moveWithCells="1">
              <from>
                <xdr:col>6</xdr:col>
                <xdr:colOff>361950</xdr:colOff>
                <xdr:row>83</xdr:row>
                <xdr:rowOff>222250</xdr:rowOff>
              </from>
              <to>
                <xdr:col>6</xdr:col>
                <xdr:colOff>527050</xdr:colOff>
                <xdr:row>83</xdr:row>
                <xdr:rowOff>412750</xdr:rowOff>
              </to>
            </anchor>
          </controlPr>
        </control>
      </mc:Choice>
      <mc:Fallback>
        <control shapeId="9252" r:id="rId40" name="Opt1_5_2_1"/>
      </mc:Fallback>
    </mc:AlternateContent>
    <mc:AlternateContent xmlns:mc="http://schemas.openxmlformats.org/markup-compatibility/2006">
      <mc:Choice Requires="x14">
        <control shapeId="9253" r:id="rId41" name="Opt1_5_2_2">
          <controlPr defaultSize="0" altText="" r:id="rId23">
            <anchor moveWithCells="1">
              <from>
                <xdr:col>6</xdr:col>
                <xdr:colOff>381000</xdr:colOff>
                <xdr:row>86</xdr:row>
                <xdr:rowOff>190500</xdr:rowOff>
              </from>
              <to>
                <xdr:col>6</xdr:col>
                <xdr:colOff>546100</xdr:colOff>
                <xdr:row>86</xdr:row>
                <xdr:rowOff>381000</xdr:rowOff>
              </to>
            </anchor>
          </controlPr>
        </control>
      </mc:Choice>
      <mc:Fallback>
        <control shapeId="9253" r:id="rId41" name="Opt1_5_2_2"/>
      </mc:Fallback>
    </mc:AlternateContent>
    <mc:AlternateContent xmlns:mc="http://schemas.openxmlformats.org/markup-compatibility/2006">
      <mc:Choice Requires="x14">
        <control shapeId="9254" r:id="rId42" name="Opt1_5_2_3">
          <controlPr defaultSize="0" altText="" r:id="rId17">
            <anchor moveWithCells="1">
              <from>
                <xdr:col>6</xdr:col>
                <xdr:colOff>361950</xdr:colOff>
                <xdr:row>89</xdr:row>
                <xdr:rowOff>298450</xdr:rowOff>
              </from>
              <to>
                <xdr:col>6</xdr:col>
                <xdr:colOff>527050</xdr:colOff>
                <xdr:row>90</xdr:row>
                <xdr:rowOff>63500</xdr:rowOff>
              </to>
            </anchor>
          </controlPr>
        </control>
      </mc:Choice>
      <mc:Fallback>
        <control shapeId="9254" r:id="rId42" name="Opt1_5_2_3"/>
      </mc:Fallback>
    </mc:AlternateContent>
    <mc:AlternateContent xmlns:mc="http://schemas.openxmlformats.org/markup-compatibility/2006">
      <mc:Choice Requires="x14">
        <control shapeId="9255" r:id="rId43" name="Opt1_5_2_4">
          <controlPr defaultSize="0" altText="" r:id="rId17">
            <anchor moveWithCells="1">
              <from>
                <xdr:col>6</xdr:col>
                <xdr:colOff>361950</xdr:colOff>
                <xdr:row>92</xdr:row>
                <xdr:rowOff>222250</xdr:rowOff>
              </from>
              <to>
                <xdr:col>6</xdr:col>
                <xdr:colOff>527050</xdr:colOff>
                <xdr:row>93</xdr:row>
                <xdr:rowOff>12700</xdr:rowOff>
              </to>
            </anchor>
          </controlPr>
        </control>
      </mc:Choice>
      <mc:Fallback>
        <control shapeId="9255" r:id="rId43" name="Opt1_5_2_4"/>
      </mc:Fallback>
    </mc:AlternateContent>
    <mc:AlternateContent xmlns:mc="http://schemas.openxmlformats.org/markup-compatibility/2006">
      <mc:Choice Requires="x14">
        <control shapeId="9256" r:id="rId44" name="Opt1_5_2_5">
          <controlPr defaultSize="0" altText="" r:id="rId17">
            <anchor moveWithCells="1">
              <from>
                <xdr:col>6</xdr:col>
                <xdr:colOff>361950</xdr:colOff>
                <xdr:row>95</xdr:row>
                <xdr:rowOff>260350</xdr:rowOff>
              </from>
              <to>
                <xdr:col>6</xdr:col>
                <xdr:colOff>527050</xdr:colOff>
                <xdr:row>96</xdr:row>
                <xdr:rowOff>25400</xdr:rowOff>
              </to>
            </anchor>
          </controlPr>
        </control>
      </mc:Choice>
      <mc:Fallback>
        <control shapeId="9256" r:id="rId44" name="Opt1_5_2_5"/>
      </mc:Fallback>
    </mc:AlternateContent>
    <mc:AlternateContent xmlns:mc="http://schemas.openxmlformats.org/markup-compatibility/2006">
      <mc:Choice Requires="x14">
        <control shapeId="9257" r:id="rId45" name="Opt1_6_1">
          <controlPr defaultSize="0" altText="" r:id="rId8">
            <anchor moveWithCells="1">
              <from>
                <xdr:col>2</xdr:col>
                <xdr:colOff>374650</xdr:colOff>
                <xdr:row>102</xdr:row>
                <xdr:rowOff>438150</xdr:rowOff>
              </from>
              <to>
                <xdr:col>2</xdr:col>
                <xdr:colOff>539750</xdr:colOff>
                <xdr:row>103</xdr:row>
                <xdr:rowOff>171450</xdr:rowOff>
              </to>
            </anchor>
          </controlPr>
        </control>
      </mc:Choice>
      <mc:Fallback>
        <control shapeId="9257" r:id="rId45" name="Opt1_6_1"/>
      </mc:Fallback>
    </mc:AlternateContent>
    <mc:AlternateContent xmlns:mc="http://schemas.openxmlformats.org/markup-compatibility/2006">
      <mc:Choice Requires="x14">
        <control shapeId="9258" r:id="rId46" name="Opt1_6_3">
          <controlPr defaultSize="0" altText="" r:id="rId6">
            <anchor moveWithCells="1">
              <from>
                <xdr:col>2</xdr:col>
                <xdr:colOff>381000</xdr:colOff>
                <xdr:row>121</xdr:row>
                <xdr:rowOff>76200</xdr:rowOff>
              </from>
              <to>
                <xdr:col>2</xdr:col>
                <xdr:colOff>546100</xdr:colOff>
                <xdr:row>121</xdr:row>
                <xdr:rowOff>260350</xdr:rowOff>
              </to>
            </anchor>
          </controlPr>
        </control>
      </mc:Choice>
      <mc:Fallback>
        <control shapeId="9258" r:id="rId46" name="Opt1_6_3"/>
      </mc:Fallback>
    </mc:AlternateContent>
    <mc:AlternateContent xmlns:mc="http://schemas.openxmlformats.org/markup-compatibility/2006">
      <mc:Choice Requires="x14">
        <control shapeId="9259" r:id="rId47" name="Opt1_6_4">
          <controlPr defaultSize="0" altText="" r:id="rId6">
            <anchor moveWithCells="1">
              <from>
                <xdr:col>2</xdr:col>
                <xdr:colOff>381000</xdr:colOff>
                <xdr:row>129</xdr:row>
                <xdr:rowOff>0</xdr:rowOff>
              </from>
              <to>
                <xdr:col>2</xdr:col>
                <xdr:colOff>546100</xdr:colOff>
                <xdr:row>130</xdr:row>
                <xdr:rowOff>31750</xdr:rowOff>
              </to>
            </anchor>
          </controlPr>
        </control>
      </mc:Choice>
      <mc:Fallback>
        <control shapeId="9259" r:id="rId47" name="Opt1_6_4"/>
      </mc:Fallback>
    </mc:AlternateContent>
    <mc:AlternateContent xmlns:mc="http://schemas.openxmlformats.org/markup-compatibility/2006">
      <mc:Choice Requires="x14">
        <control shapeId="9260" r:id="rId48" name="Opt1_6_5">
          <controlPr defaultSize="0" altText="" r:id="rId6">
            <anchor moveWithCells="1">
              <from>
                <xdr:col>2</xdr:col>
                <xdr:colOff>381000</xdr:colOff>
                <xdr:row>136</xdr:row>
                <xdr:rowOff>0</xdr:rowOff>
              </from>
              <to>
                <xdr:col>2</xdr:col>
                <xdr:colOff>546100</xdr:colOff>
                <xdr:row>137</xdr:row>
                <xdr:rowOff>31750</xdr:rowOff>
              </to>
            </anchor>
          </controlPr>
        </control>
      </mc:Choice>
      <mc:Fallback>
        <control shapeId="9260" r:id="rId48" name="Opt1_6_5"/>
      </mc:Fallback>
    </mc:AlternateContent>
    <mc:AlternateContent xmlns:mc="http://schemas.openxmlformats.org/markup-compatibility/2006">
      <mc:Choice Requires="x14">
        <control shapeId="9261" r:id="rId49" name="Opt1_6_2_1">
          <controlPr defaultSize="0" altText="" r:id="rId6">
            <anchor moveWithCells="1">
              <from>
                <xdr:col>6</xdr:col>
                <xdr:colOff>361950</xdr:colOff>
                <xdr:row>102</xdr:row>
                <xdr:rowOff>431800</xdr:rowOff>
              </from>
              <to>
                <xdr:col>6</xdr:col>
                <xdr:colOff>527050</xdr:colOff>
                <xdr:row>103</xdr:row>
                <xdr:rowOff>165100</xdr:rowOff>
              </to>
            </anchor>
          </controlPr>
        </control>
      </mc:Choice>
      <mc:Fallback>
        <control shapeId="9261" r:id="rId49" name="Opt1_6_2_1"/>
      </mc:Fallback>
    </mc:AlternateContent>
    <mc:AlternateContent xmlns:mc="http://schemas.openxmlformats.org/markup-compatibility/2006">
      <mc:Choice Requires="x14">
        <control shapeId="9262" r:id="rId50" name="Opt1_6_2_2">
          <controlPr defaultSize="0" altText="" r:id="rId8">
            <anchor moveWithCells="1">
              <from>
                <xdr:col>6</xdr:col>
                <xdr:colOff>361950</xdr:colOff>
                <xdr:row>112</xdr:row>
                <xdr:rowOff>19050</xdr:rowOff>
              </from>
              <to>
                <xdr:col>6</xdr:col>
                <xdr:colOff>527050</xdr:colOff>
                <xdr:row>112</xdr:row>
                <xdr:rowOff>203200</xdr:rowOff>
              </to>
            </anchor>
          </controlPr>
        </control>
      </mc:Choice>
      <mc:Fallback>
        <control shapeId="9262" r:id="rId50" name="Opt1_6_2_2"/>
      </mc:Fallback>
    </mc:AlternateContent>
    <mc:AlternateContent xmlns:mc="http://schemas.openxmlformats.org/markup-compatibility/2006">
      <mc:Choice Requires="x14">
        <control shapeId="9263" r:id="rId51" name="Opt1_6_2_3">
          <controlPr defaultSize="0" altText="" r:id="rId6">
            <anchor moveWithCells="1">
              <from>
                <xdr:col>6</xdr:col>
                <xdr:colOff>355600</xdr:colOff>
                <xdr:row>121</xdr:row>
                <xdr:rowOff>50800</xdr:rowOff>
              </from>
              <to>
                <xdr:col>6</xdr:col>
                <xdr:colOff>520700</xdr:colOff>
                <xdr:row>121</xdr:row>
                <xdr:rowOff>234950</xdr:rowOff>
              </to>
            </anchor>
          </controlPr>
        </control>
      </mc:Choice>
      <mc:Fallback>
        <control shapeId="9263" r:id="rId51" name="Opt1_6_2_3"/>
      </mc:Fallback>
    </mc:AlternateContent>
    <mc:AlternateContent xmlns:mc="http://schemas.openxmlformats.org/markup-compatibility/2006">
      <mc:Choice Requires="x14">
        <control shapeId="9264" r:id="rId52" name="Opt1_6_2_4">
          <controlPr defaultSize="0" altText="" r:id="rId6">
            <anchor moveWithCells="1">
              <from>
                <xdr:col>6</xdr:col>
                <xdr:colOff>374650</xdr:colOff>
                <xdr:row>129</xdr:row>
                <xdr:rowOff>0</xdr:rowOff>
              </from>
              <to>
                <xdr:col>6</xdr:col>
                <xdr:colOff>539750</xdr:colOff>
                <xdr:row>130</xdr:row>
                <xdr:rowOff>31750</xdr:rowOff>
              </to>
            </anchor>
          </controlPr>
        </control>
      </mc:Choice>
      <mc:Fallback>
        <control shapeId="9264" r:id="rId52" name="Opt1_6_2_4"/>
      </mc:Fallback>
    </mc:AlternateContent>
    <mc:AlternateContent xmlns:mc="http://schemas.openxmlformats.org/markup-compatibility/2006">
      <mc:Choice Requires="x14">
        <control shapeId="9265" r:id="rId53" name="Opt1_6_2_5">
          <controlPr defaultSize="0" altText="" r:id="rId54">
            <anchor moveWithCells="1">
              <from>
                <xdr:col>6</xdr:col>
                <xdr:colOff>361950</xdr:colOff>
                <xdr:row>136</xdr:row>
                <xdr:rowOff>0</xdr:rowOff>
              </from>
              <to>
                <xdr:col>6</xdr:col>
                <xdr:colOff>527050</xdr:colOff>
                <xdr:row>137</xdr:row>
                <xdr:rowOff>19050</xdr:rowOff>
              </to>
            </anchor>
          </controlPr>
        </control>
      </mc:Choice>
      <mc:Fallback>
        <control shapeId="9265" r:id="rId53" name="Opt1_6_2_5"/>
      </mc:Fallback>
    </mc:AlternateContent>
    <mc:AlternateContent xmlns:mc="http://schemas.openxmlformats.org/markup-compatibility/2006">
      <mc:Choice Requires="x14">
        <control shapeId="9266" r:id="rId55" name="Opt1_7_1">
          <controlPr defaultSize="0" altText="" r:id="rId6">
            <anchor moveWithCells="1">
              <from>
                <xdr:col>2</xdr:col>
                <xdr:colOff>381000</xdr:colOff>
                <xdr:row>150</xdr:row>
                <xdr:rowOff>0</xdr:rowOff>
              </from>
              <to>
                <xdr:col>2</xdr:col>
                <xdr:colOff>546100</xdr:colOff>
                <xdr:row>150</xdr:row>
                <xdr:rowOff>184150</xdr:rowOff>
              </to>
            </anchor>
          </controlPr>
        </control>
      </mc:Choice>
      <mc:Fallback>
        <control shapeId="9266" r:id="rId55" name="Opt1_7_1"/>
      </mc:Fallback>
    </mc:AlternateContent>
    <mc:AlternateContent xmlns:mc="http://schemas.openxmlformats.org/markup-compatibility/2006">
      <mc:Choice Requires="x14">
        <control shapeId="9267" r:id="rId56" name="Opt1_7_2">
          <controlPr defaultSize="0" altText="" r:id="rId6">
            <anchor moveWithCells="1">
              <from>
                <xdr:col>2</xdr:col>
                <xdr:colOff>381000</xdr:colOff>
                <xdr:row>155</xdr:row>
                <xdr:rowOff>146050</xdr:rowOff>
              </from>
              <to>
                <xdr:col>2</xdr:col>
                <xdr:colOff>546100</xdr:colOff>
                <xdr:row>156</xdr:row>
                <xdr:rowOff>31750</xdr:rowOff>
              </to>
            </anchor>
          </controlPr>
        </control>
      </mc:Choice>
      <mc:Fallback>
        <control shapeId="9267" r:id="rId56" name="Opt1_7_2"/>
      </mc:Fallback>
    </mc:AlternateContent>
    <mc:AlternateContent xmlns:mc="http://schemas.openxmlformats.org/markup-compatibility/2006">
      <mc:Choice Requires="x14">
        <control shapeId="9268" r:id="rId57" name="Opt1_7_3">
          <controlPr defaultSize="0" altText="" r:id="rId6">
            <anchor moveWithCells="1">
              <from>
                <xdr:col>2</xdr:col>
                <xdr:colOff>381000</xdr:colOff>
                <xdr:row>160</xdr:row>
                <xdr:rowOff>241300</xdr:rowOff>
              </from>
              <to>
                <xdr:col>2</xdr:col>
                <xdr:colOff>546100</xdr:colOff>
                <xdr:row>161</xdr:row>
                <xdr:rowOff>101600</xdr:rowOff>
              </to>
            </anchor>
          </controlPr>
        </control>
      </mc:Choice>
      <mc:Fallback>
        <control shapeId="9268" r:id="rId57" name="Opt1_7_3"/>
      </mc:Fallback>
    </mc:AlternateContent>
    <mc:AlternateContent xmlns:mc="http://schemas.openxmlformats.org/markup-compatibility/2006">
      <mc:Choice Requires="x14">
        <control shapeId="9269" r:id="rId58" name="Opt1_7_4">
          <controlPr defaultSize="0" altText="" r:id="rId8">
            <anchor moveWithCells="1">
              <from>
                <xdr:col>2</xdr:col>
                <xdr:colOff>374650</xdr:colOff>
                <xdr:row>165</xdr:row>
                <xdr:rowOff>228600</xdr:rowOff>
              </from>
              <to>
                <xdr:col>2</xdr:col>
                <xdr:colOff>539750</xdr:colOff>
                <xdr:row>166</xdr:row>
                <xdr:rowOff>88900</xdr:rowOff>
              </to>
            </anchor>
          </controlPr>
        </control>
      </mc:Choice>
      <mc:Fallback>
        <control shapeId="9269" r:id="rId58" name="Opt1_7_4"/>
      </mc:Fallback>
    </mc:AlternateContent>
    <mc:AlternateContent xmlns:mc="http://schemas.openxmlformats.org/markup-compatibility/2006">
      <mc:Choice Requires="x14">
        <control shapeId="9270" r:id="rId59" name="Opt1_7_5">
          <controlPr defaultSize="0" altText="" r:id="rId6">
            <anchor moveWithCells="1">
              <from>
                <xdr:col>2</xdr:col>
                <xdr:colOff>393700</xdr:colOff>
                <xdr:row>171</xdr:row>
                <xdr:rowOff>0</xdr:rowOff>
              </from>
              <to>
                <xdr:col>2</xdr:col>
                <xdr:colOff>558800</xdr:colOff>
                <xdr:row>172</xdr:row>
                <xdr:rowOff>31750</xdr:rowOff>
              </to>
            </anchor>
          </controlPr>
        </control>
      </mc:Choice>
      <mc:Fallback>
        <control shapeId="9270" r:id="rId59" name="Opt1_7_5"/>
      </mc:Fallback>
    </mc:AlternateContent>
    <mc:AlternateContent xmlns:mc="http://schemas.openxmlformats.org/markup-compatibility/2006">
      <mc:Choice Requires="x14">
        <control shapeId="9271" r:id="rId60" name="Opt1_7_2_1">
          <controlPr defaultSize="0" altText="" r:id="rId6">
            <anchor moveWithCells="1">
              <from>
                <xdr:col>6</xdr:col>
                <xdr:colOff>342900</xdr:colOff>
                <xdr:row>149</xdr:row>
                <xdr:rowOff>266700</xdr:rowOff>
              </from>
              <to>
                <xdr:col>6</xdr:col>
                <xdr:colOff>508000</xdr:colOff>
                <xdr:row>150</xdr:row>
                <xdr:rowOff>152400</xdr:rowOff>
              </to>
            </anchor>
          </controlPr>
        </control>
      </mc:Choice>
      <mc:Fallback>
        <control shapeId="9271" r:id="rId60" name="Opt1_7_2_1"/>
      </mc:Fallback>
    </mc:AlternateContent>
    <mc:AlternateContent xmlns:mc="http://schemas.openxmlformats.org/markup-compatibility/2006">
      <mc:Choice Requires="x14">
        <control shapeId="9272" r:id="rId61" name="Opt1_7_2_2">
          <controlPr defaultSize="0" altText="" r:id="rId8">
            <anchor moveWithCells="1">
              <from>
                <xdr:col>6</xdr:col>
                <xdr:colOff>381000</xdr:colOff>
                <xdr:row>155</xdr:row>
                <xdr:rowOff>184150</xdr:rowOff>
              </from>
              <to>
                <xdr:col>6</xdr:col>
                <xdr:colOff>546100</xdr:colOff>
                <xdr:row>156</xdr:row>
                <xdr:rowOff>69850</xdr:rowOff>
              </to>
            </anchor>
          </controlPr>
        </control>
      </mc:Choice>
      <mc:Fallback>
        <control shapeId="9272" r:id="rId61" name="Opt1_7_2_2"/>
      </mc:Fallback>
    </mc:AlternateContent>
    <mc:AlternateContent xmlns:mc="http://schemas.openxmlformats.org/markup-compatibility/2006">
      <mc:Choice Requires="x14">
        <control shapeId="9273" r:id="rId62" name="Opt1_7_2_3">
          <controlPr defaultSize="0" altText="" r:id="rId6">
            <anchor moveWithCells="1">
              <from>
                <xdr:col>6</xdr:col>
                <xdr:colOff>361950</xdr:colOff>
                <xdr:row>160</xdr:row>
                <xdr:rowOff>241300</xdr:rowOff>
              </from>
              <to>
                <xdr:col>6</xdr:col>
                <xdr:colOff>527050</xdr:colOff>
                <xdr:row>161</xdr:row>
                <xdr:rowOff>101600</xdr:rowOff>
              </to>
            </anchor>
          </controlPr>
        </control>
      </mc:Choice>
      <mc:Fallback>
        <control shapeId="9273" r:id="rId62" name="Opt1_7_2_3"/>
      </mc:Fallback>
    </mc:AlternateContent>
    <mc:AlternateContent xmlns:mc="http://schemas.openxmlformats.org/markup-compatibility/2006">
      <mc:Choice Requires="x14">
        <control shapeId="9274" r:id="rId63" name="Opt1_7_2_4">
          <controlPr defaultSize="0" altText="" r:id="rId6">
            <anchor moveWithCells="1">
              <from>
                <xdr:col>6</xdr:col>
                <xdr:colOff>355600</xdr:colOff>
                <xdr:row>165</xdr:row>
                <xdr:rowOff>247650</xdr:rowOff>
              </from>
              <to>
                <xdr:col>6</xdr:col>
                <xdr:colOff>520700</xdr:colOff>
                <xdr:row>166</xdr:row>
                <xdr:rowOff>107950</xdr:rowOff>
              </to>
            </anchor>
          </controlPr>
        </control>
      </mc:Choice>
      <mc:Fallback>
        <control shapeId="9274" r:id="rId63" name="Opt1_7_2_4"/>
      </mc:Fallback>
    </mc:AlternateContent>
    <mc:AlternateContent xmlns:mc="http://schemas.openxmlformats.org/markup-compatibility/2006">
      <mc:Choice Requires="x14">
        <control shapeId="9275" r:id="rId64" name="Opt1_7_2_5">
          <controlPr defaultSize="0" altText="" r:id="rId6">
            <anchor moveWithCells="1">
              <from>
                <xdr:col>6</xdr:col>
                <xdr:colOff>374650</xdr:colOff>
                <xdr:row>171</xdr:row>
                <xdr:rowOff>0</xdr:rowOff>
              </from>
              <to>
                <xdr:col>6</xdr:col>
                <xdr:colOff>539750</xdr:colOff>
                <xdr:row>172</xdr:row>
                <xdr:rowOff>31750</xdr:rowOff>
              </to>
            </anchor>
          </controlPr>
        </control>
      </mc:Choice>
      <mc:Fallback>
        <control shapeId="9275" r:id="rId64" name="Opt1_7_2_5"/>
      </mc:Fallback>
    </mc:AlternateContent>
    <mc:AlternateContent xmlns:mc="http://schemas.openxmlformats.org/markup-compatibility/2006">
      <mc:Choice Requires="x14">
        <control shapeId="9276" r:id="rId65" name="Opt1_8_1">
          <controlPr defaultSize="0" altText="" r:id="rId6">
            <anchor moveWithCells="1">
              <from>
                <xdr:col>2</xdr:col>
                <xdr:colOff>393700</xdr:colOff>
                <xdr:row>178</xdr:row>
                <xdr:rowOff>146050</xdr:rowOff>
              </from>
              <to>
                <xdr:col>2</xdr:col>
                <xdr:colOff>558800</xdr:colOff>
                <xdr:row>178</xdr:row>
                <xdr:rowOff>330200</xdr:rowOff>
              </to>
            </anchor>
          </controlPr>
        </control>
      </mc:Choice>
      <mc:Fallback>
        <control shapeId="9276" r:id="rId65" name="Opt1_8_1"/>
      </mc:Fallback>
    </mc:AlternateContent>
    <mc:AlternateContent xmlns:mc="http://schemas.openxmlformats.org/markup-compatibility/2006">
      <mc:Choice Requires="x14">
        <control shapeId="9277" r:id="rId66" name="Opt1_8_2">
          <controlPr defaultSize="0" altText="" r:id="rId17">
            <anchor moveWithCells="1">
              <from>
                <xdr:col>2</xdr:col>
                <xdr:colOff>400050</xdr:colOff>
                <xdr:row>184</xdr:row>
                <xdr:rowOff>0</xdr:rowOff>
              </from>
              <to>
                <xdr:col>2</xdr:col>
                <xdr:colOff>565150</xdr:colOff>
                <xdr:row>184</xdr:row>
                <xdr:rowOff>190500</xdr:rowOff>
              </to>
            </anchor>
          </controlPr>
        </control>
      </mc:Choice>
      <mc:Fallback>
        <control shapeId="9277" r:id="rId66" name="Opt1_8_2"/>
      </mc:Fallback>
    </mc:AlternateContent>
    <mc:AlternateContent xmlns:mc="http://schemas.openxmlformats.org/markup-compatibility/2006">
      <mc:Choice Requires="x14">
        <control shapeId="9278" r:id="rId67" name="Opt1_8_3">
          <controlPr defaultSize="0" altText="" r:id="rId8">
            <anchor moveWithCells="1">
              <from>
                <xdr:col>2</xdr:col>
                <xdr:colOff>400050</xdr:colOff>
                <xdr:row>190</xdr:row>
                <xdr:rowOff>0</xdr:rowOff>
              </from>
              <to>
                <xdr:col>2</xdr:col>
                <xdr:colOff>565150</xdr:colOff>
                <xdr:row>190</xdr:row>
                <xdr:rowOff>184150</xdr:rowOff>
              </to>
            </anchor>
          </controlPr>
        </control>
      </mc:Choice>
      <mc:Fallback>
        <control shapeId="9278" r:id="rId67" name="Opt1_8_3"/>
      </mc:Fallback>
    </mc:AlternateContent>
    <mc:AlternateContent xmlns:mc="http://schemas.openxmlformats.org/markup-compatibility/2006">
      <mc:Choice Requires="x14">
        <control shapeId="9279" r:id="rId68" name="Opt1_8_4">
          <controlPr defaultSize="0" altText="" r:id="rId6">
            <anchor moveWithCells="1">
              <from>
                <xdr:col>2</xdr:col>
                <xdr:colOff>361950</xdr:colOff>
                <xdr:row>196</xdr:row>
                <xdr:rowOff>0</xdr:rowOff>
              </from>
              <to>
                <xdr:col>2</xdr:col>
                <xdr:colOff>527050</xdr:colOff>
                <xdr:row>196</xdr:row>
                <xdr:rowOff>184150</xdr:rowOff>
              </to>
            </anchor>
          </controlPr>
        </control>
      </mc:Choice>
      <mc:Fallback>
        <control shapeId="9279" r:id="rId68" name="Opt1_8_4"/>
      </mc:Fallback>
    </mc:AlternateContent>
    <mc:AlternateContent xmlns:mc="http://schemas.openxmlformats.org/markup-compatibility/2006">
      <mc:Choice Requires="x14">
        <control shapeId="9280" r:id="rId69" name="Opt1_8_5">
          <controlPr defaultSize="0" altText="" r:id="rId6">
            <anchor moveWithCells="1">
              <from>
                <xdr:col>2</xdr:col>
                <xdr:colOff>374650</xdr:colOff>
                <xdr:row>201</xdr:row>
                <xdr:rowOff>222250</xdr:rowOff>
              </from>
              <to>
                <xdr:col>2</xdr:col>
                <xdr:colOff>539750</xdr:colOff>
                <xdr:row>202</xdr:row>
                <xdr:rowOff>114300</xdr:rowOff>
              </to>
            </anchor>
          </controlPr>
        </control>
      </mc:Choice>
      <mc:Fallback>
        <control shapeId="9280" r:id="rId69" name="Opt1_8_5"/>
      </mc:Fallback>
    </mc:AlternateContent>
    <mc:AlternateContent xmlns:mc="http://schemas.openxmlformats.org/markup-compatibility/2006">
      <mc:Choice Requires="x14">
        <control shapeId="9281" r:id="rId70" name="Opt1_8_2_1">
          <controlPr defaultSize="0" altText="" r:id="rId6">
            <anchor moveWithCells="1">
              <from>
                <xdr:col>6</xdr:col>
                <xdr:colOff>355600</xdr:colOff>
                <xdr:row>178</xdr:row>
                <xdr:rowOff>38100</xdr:rowOff>
              </from>
              <to>
                <xdr:col>6</xdr:col>
                <xdr:colOff>520700</xdr:colOff>
                <xdr:row>178</xdr:row>
                <xdr:rowOff>222250</xdr:rowOff>
              </to>
            </anchor>
          </controlPr>
        </control>
      </mc:Choice>
      <mc:Fallback>
        <control shapeId="9281" r:id="rId70" name="Opt1_8_2_1"/>
      </mc:Fallback>
    </mc:AlternateContent>
    <mc:AlternateContent xmlns:mc="http://schemas.openxmlformats.org/markup-compatibility/2006">
      <mc:Choice Requires="x14">
        <control shapeId="9282" r:id="rId71" name="Opt1_8_2_2">
          <controlPr defaultSize="0" altText="" r:id="rId6">
            <anchor moveWithCells="1">
              <from>
                <xdr:col>6</xdr:col>
                <xdr:colOff>355600</xdr:colOff>
                <xdr:row>184</xdr:row>
                <xdr:rowOff>0</xdr:rowOff>
              </from>
              <to>
                <xdr:col>6</xdr:col>
                <xdr:colOff>520700</xdr:colOff>
                <xdr:row>184</xdr:row>
                <xdr:rowOff>184150</xdr:rowOff>
              </to>
            </anchor>
          </controlPr>
        </control>
      </mc:Choice>
      <mc:Fallback>
        <control shapeId="9282" r:id="rId71" name="Opt1_8_2_2"/>
      </mc:Fallback>
    </mc:AlternateContent>
    <mc:AlternateContent xmlns:mc="http://schemas.openxmlformats.org/markup-compatibility/2006">
      <mc:Choice Requires="x14">
        <control shapeId="9283" r:id="rId72" name="Opt1_8_2_3">
          <controlPr defaultSize="0" altText="" r:id="rId6">
            <anchor moveWithCells="1">
              <from>
                <xdr:col>6</xdr:col>
                <xdr:colOff>374650</xdr:colOff>
                <xdr:row>190</xdr:row>
                <xdr:rowOff>0</xdr:rowOff>
              </from>
              <to>
                <xdr:col>6</xdr:col>
                <xdr:colOff>539750</xdr:colOff>
                <xdr:row>190</xdr:row>
                <xdr:rowOff>184150</xdr:rowOff>
              </to>
            </anchor>
          </controlPr>
        </control>
      </mc:Choice>
      <mc:Fallback>
        <control shapeId="9283" r:id="rId72" name="Opt1_8_2_3"/>
      </mc:Fallback>
    </mc:AlternateContent>
    <mc:AlternateContent xmlns:mc="http://schemas.openxmlformats.org/markup-compatibility/2006">
      <mc:Choice Requires="x14">
        <control shapeId="9284" r:id="rId73" name="Opt1_8_2_4">
          <controlPr defaultSize="0" altText="" r:id="rId31">
            <anchor moveWithCells="1">
              <from>
                <xdr:col>6</xdr:col>
                <xdr:colOff>361950</xdr:colOff>
                <xdr:row>196</xdr:row>
                <xdr:rowOff>0</xdr:rowOff>
              </from>
              <to>
                <xdr:col>6</xdr:col>
                <xdr:colOff>520700</xdr:colOff>
                <xdr:row>196</xdr:row>
                <xdr:rowOff>184150</xdr:rowOff>
              </to>
            </anchor>
          </controlPr>
        </control>
      </mc:Choice>
      <mc:Fallback>
        <control shapeId="9284" r:id="rId73" name="Opt1_8_2_4"/>
      </mc:Fallback>
    </mc:AlternateContent>
    <mc:AlternateContent xmlns:mc="http://schemas.openxmlformats.org/markup-compatibility/2006">
      <mc:Choice Requires="x14">
        <control shapeId="9285" r:id="rId74" name="Opt1_8_2_5">
          <controlPr defaultSize="0" altText="" r:id="rId6">
            <anchor moveWithCells="1">
              <from>
                <xdr:col>6</xdr:col>
                <xdr:colOff>355600</xdr:colOff>
                <xdr:row>201</xdr:row>
                <xdr:rowOff>222250</xdr:rowOff>
              </from>
              <to>
                <xdr:col>6</xdr:col>
                <xdr:colOff>520700</xdr:colOff>
                <xdr:row>202</xdr:row>
                <xdr:rowOff>114300</xdr:rowOff>
              </to>
            </anchor>
          </controlPr>
        </control>
      </mc:Choice>
      <mc:Fallback>
        <control shapeId="9285" r:id="rId74" name="Opt1_8_2_5"/>
      </mc:Fallback>
    </mc:AlternateContent>
    <mc:AlternateContent xmlns:mc="http://schemas.openxmlformats.org/markup-compatibility/2006">
      <mc:Choice Requires="x14">
        <control shapeId="9286" r:id="rId75" name="Opt1_9_1">
          <controlPr defaultSize="0" altText="" r:id="rId6">
            <anchor moveWithCells="1">
              <from>
                <xdr:col>2</xdr:col>
                <xdr:colOff>381000</xdr:colOff>
                <xdr:row>209</xdr:row>
                <xdr:rowOff>76200</xdr:rowOff>
              </from>
              <to>
                <xdr:col>2</xdr:col>
                <xdr:colOff>546100</xdr:colOff>
                <xdr:row>210</xdr:row>
                <xdr:rowOff>114300</xdr:rowOff>
              </to>
            </anchor>
          </controlPr>
        </control>
      </mc:Choice>
      <mc:Fallback>
        <control shapeId="9286" r:id="rId75" name="Opt1_9_1"/>
      </mc:Fallback>
    </mc:AlternateContent>
    <mc:AlternateContent xmlns:mc="http://schemas.openxmlformats.org/markup-compatibility/2006">
      <mc:Choice Requires="x14">
        <control shapeId="9287" r:id="rId76" name="Opt1_9_2">
          <controlPr defaultSize="0" altText="" r:id="rId8">
            <anchor moveWithCells="1">
              <from>
                <xdr:col>2</xdr:col>
                <xdr:colOff>393700</xdr:colOff>
                <xdr:row>215</xdr:row>
                <xdr:rowOff>107950</xdr:rowOff>
              </from>
              <to>
                <xdr:col>2</xdr:col>
                <xdr:colOff>558800</xdr:colOff>
                <xdr:row>215</xdr:row>
                <xdr:rowOff>292100</xdr:rowOff>
              </to>
            </anchor>
          </controlPr>
        </control>
      </mc:Choice>
      <mc:Fallback>
        <control shapeId="9287" r:id="rId76" name="Opt1_9_2"/>
      </mc:Fallback>
    </mc:AlternateContent>
    <mc:AlternateContent xmlns:mc="http://schemas.openxmlformats.org/markup-compatibility/2006">
      <mc:Choice Requires="x14">
        <control shapeId="9288" r:id="rId77" name="Opt1_9_3">
          <controlPr defaultSize="0" altText="" r:id="rId6">
            <anchor moveWithCells="1">
              <from>
                <xdr:col>2</xdr:col>
                <xdr:colOff>400050</xdr:colOff>
                <xdr:row>220</xdr:row>
                <xdr:rowOff>107950</xdr:rowOff>
              </from>
              <to>
                <xdr:col>2</xdr:col>
                <xdr:colOff>565150</xdr:colOff>
                <xdr:row>220</xdr:row>
                <xdr:rowOff>292100</xdr:rowOff>
              </to>
            </anchor>
          </controlPr>
        </control>
      </mc:Choice>
      <mc:Fallback>
        <control shapeId="9288" r:id="rId77" name="Opt1_9_3"/>
      </mc:Fallback>
    </mc:AlternateContent>
    <mc:AlternateContent xmlns:mc="http://schemas.openxmlformats.org/markup-compatibility/2006">
      <mc:Choice Requires="x14">
        <control shapeId="9289" r:id="rId78" name="Opt1_9_4">
          <controlPr defaultSize="0" altText="" r:id="rId6">
            <anchor moveWithCells="1">
              <from>
                <xdr:col>2</xdr:col>
                <xdr:colOff>393700</xdr:colOff>
                <xdr:row>225</xdr:row>
                <xdr:rowOff>165100</xdr:rowOff>
              </from>
              <to>
                <xdr:col>2</xdr:col>
                <xdr:colOff>558800</xdr:colOff>
                <xdr:row>226</xdr:row>
                <xdr:rowOff>50800</xdr:rowOff>
              </to>
            </anchor>
          </controlPr>
        </control>
      </mc:Choice>
      <mc:Fallback>
        <control shapeId="9289" r:id="rId78" name="Opt1_9_4"/>
      </mc:Fallback>
    </mc:AlternateContent>
    <mc:AlternateContent xmlns:mc="http://schemas.openxmlformats.org/markup-compatibility/2006">
      <mc:Choice Requires="x14">
        <control shapeId="9290" r:id="rId79" name="Opt1_9_5">
          <controlPr defaultSize="0" altText="" r:id="rId6">
            <anchor moveWithCells="1">
              <from>
                <xdr:col>2</xdr:col>
                <xdr:colOff>381000</xdr:colOff>
                <xdr:row>230</xdr:row>
                <xdr:rowOff>0</xdr:rowOff>
              </from>
              <to>
                <xdr:col>2</xdr:col>
                <xdr:colOff>546100</xdr:colOff>
                <xdr:row>230</xdr:row>
                <xdr:rowOff>184150</xdr:rowOff>
              </to>
            </anchor>
          </controlPr>
        </control>
      </mc:Choice>
      <mc:Fallback>
        <control shapeId="9290" r:id="rId79" name="Opt1_9_5"/>
      </mc:Fallback>
    </mc:AlternateContent>
    <mc:AlternateContent xmlns:mc="http://schemas.openxmlformats.org/markup-compatibility/2006">
      <mc:Choice Requires="x14">
        <control shapeId="9291" r:id="rId80" name="Opt1_9_2_1">
          <controlPr defaultSize="0" altText="" r:id="rId31">
            <anchor moveWithCells="1">
              <from>
                <xdr:col>6</xdr:col>
                <xdr:colOff>355600</xdr:colOff>
                <xdr:row>209</xdr:row>
                <xdr:rowOff>69850</xdr:rowOff>
              </from>
              <to>
                <xdr:col>6</xdr:col>
                <xdr:colOff>514350</xdr:colOff>
                <xdr:row>210</xdr:row>
                <xdr:rowOff>107950</xdr:rowOff>
              </to>
            </anchor>
          </controlPr>
        </control>
      </mc:Choice>
      <mc:Fallback>
        <control shapeId="9291" r:id="rId80" name="Opt1_9_2_1"/>
      </mc:Fallback>
    </mc:AlternateContent>
    <mc:AlternateContent xmlns:mc="http://schemas.openxmlformats.org/markup-compatibility/2006">
      <mc:Choice Requires="x14">
        <control shapeId="9292" r:id="rId81" name="Opt1_9_2_2">
          <controlPr defaultSize="0" altText="" r:id="rId6">
            <anchor moveWithCells="1">
              <from>
                <xdr:col>6</xdr:col>
                <xdr:colOff>361950</xdr:colOff>
                <xdr:row>215</xdr:row>
                <xdr:rowOff>88900</xdr:rowOff>
              </from>
              <to>
                <xdr:col>6</xdr:col>
                <xdr:colOff>527050</xdr:colOff>
                <xdr:row>215</xdr:row>
                <xdr:rowOff>273050</xdr:rowOff>
              </to>
            </anchor>
          </controlPr>
        </control>
      </mc:Choice>
      <mc:Fallback>
        <control shapeId="9292" r:id="rId81" name="Opt1_9_2_2"/>
      </mc:Fallback>
    </mc:AlternateContent>
    <mc:AlternateContent xmlns:mc="http://schemas.openxmlformats.org/markup-compatibility/2006">
      <mc:Choice Requires="x14">
        <control shapeId="9293" r:id="rId82" name="Opt1_9_2_3">
          <controlPr defaultSize="0" altText="" r:id="rId6">
            <anchor moveWithCells="1">
              <from>
                <xdr:col>6</xdr:col>
                <xdr:colOff>374650</xdr:colOff>
                <xdr:row>220</xdr:row>
                <xdr:rowOff>95250</xdr:rowOff>
              </from>
              <to>
                <xdr:col>6</xdr:col>
                <xdr:colOff>539750</xdr:colOff>
                <xdr:row>220</xdr:row>
                <xdr:rowOff>279400</xdr:rowOff>
              </to>
            </anchor>
          </controlPr>
        </control>
      </mc:Choice>
      <mc:Fallback>
        <control shapeId="9293" r:id="rId82" name="Opt1_9_2_3"/>
      </mc:Fallback>
    </mc:AlternateContent>
    <mc:AlternateContent xmlns:mc="http://schemas.openxmlformats.org/markup-compatibility/2006">
      <mc:Choice Requires="x14">
        <control shapeId="9294" r:id="rId83" name="Opt1_9_2_4">
          <controlPr defaultSize="0" altText="" r:id="rId6">
            <anchor moveWithCells="1">
              <from>
                <xdr:col>6</xdr:col>
                <xdr:colOff>393700</xdr:colOff>
                <xdr:row>225</xdr:row>
                <xdr:rowOff>127000</xdr:rowOff>
              </from>
              <to>
                <xdr:col>6</xdr:col>
                <xdr:colOff>558800</xdr:colOff>
                <xdr:row>226</xdr:row>
                <xdr:rowOff>12700</xdr:rowOff>
              </to>
            </anchor>
          </controlPr>
        </control>
      </mc:Choice>
      <mc:Fallback>
        <control shapeId="9294" r:id="rId83" name="Opt1_9_2_4"/>
      </mc:Fallback>
    </mc:AlternateContent>
    <mc:AlternateContent xmlns:mc="http://schemas.openxmlformats.org/markup-compatibility/2006">
      <mc:Choice Requires="x14">
        <control shapeId="9295" r:id="rId84" name="Opt1_9_2_5">
          <controlPr defaultSize="0" altText="" r:id="rId6">
            <anchor moveWithCells="1">
              <from>
                <xdr:col>6</xdr:col>
                <xdr:colOff>374650</xdr:colOff>
                <xdr:row>230</xdr:row>
                <xdr:rowOff>0</xdr:rowOff>
              </from>
              <to>
                <xdr:col>6</xdr:col>
                <xdr:colOff>539750</xdr:colOff>
                <xdr:row>230</xdr:row>
                <xdr:rowOff>184150</xdr:rowOff>
              </to>
            </anchor>
          </controlPr>
        </control>
      </mc:Choice>
      <mc:Fallback>
        <control shapeId="9295" r:id="rId84" name="Opt1_9_2_5"/>
      </mc:Fallback>
    </mc:AlternateContent>
    <mc:AlternateContent xmlns:mc="http://schemas.openxmlformats.org/markup-compatibility/2006">
      <mc:Choice Requires="x14">
        <control shapeId="9296" r:id="rId85" name="Opt1_10_1">
          <controlPr defaultSize="0" altText="" r:id="rId6">
            <anchor moveWithCells="1">
              <from>
                <xdr:col>2</xdr:col>
                <xdr:colOff>381000</xdr:colOff>
                <xdr:row>237</xdr:row>
                <xdr:rowOff>12700</xdr:rowOff>
              </from>
              <to>
                <xdr:col>2</xdr:col>
                <xdr:colOff>546100</xdr:colOff>
                <xdr:row>237</xdr:row>
                <xdr:rowOff>196850</xdr:rowOff>
              </to>
            </anchor>
          </controlPr>
        </control>
      </mc:Choice>
      <mc:Fallback>
        <control shapeId="9296" r:id="rId85" name="Opt1_10_1"/>
      </mc:Fallback>
    </mc:AlternateContent>
    <mc:AlternateContent xmlns:mc="http://schemas.openxmlformats.org/markup-compatibility/2006">
      <mc:Choice Requires="x14">
        <control shapeId="9297" r:id="rId86" name="Opt1_10_2">
          <controlPr defaultSize="0" altText="" r:id="rId6">
            <anchor moveWithCells="1">
              <from>
                <xdr:col>2</xdr:col>
                <xdr:colOff>381000</xdr:colOff>
                <xdr:row>241</xdr:row>
                <xdr:rowOff>19050</xdr:rowOff>
              </from>
              <to>
                <xdr:col>2</xdr:col>
                <xdr:colOff>546100</xdr:colOff>
                <xdr:row>242</xdr:row>
                <xdr:rowOff>57150</xdr:rowOff>
              </to>
            </anchor>
          </controlPr>
        </control>
      </mc:Choice>
      <mc:Fallback>
        <control shapeId="9297" r:id="rId86" name="Opt1_10_2"/>
      </mc:Fallback>
    </mc:AlternateContent>
    <mc:AlternateContent xmlns:mc="http://schemas.openxmlformats.org/markup-compatibility/2006">
      <mc:Choice Requires="x14">
        <control shapeId="9298" r:id="rId87" name="Opt1_10_3">
          <controlPr defaultSize="0" altText="" r:id="rId6">
            <anchor moveWithCells="1">
              <from>
                <xdr:col>2</xdr:col>
                <xdr:colOff>374650</xdr:colOff>
                <xdr:row>245</xdr:row>
                <xdr:rowOff>38100</xdr:rowOff>
              </from>
              <to>
                <xdr:col>2</xdr:col>
                <xdr:colOff>539750</xdr:colOff>
                <xdr:row>246</xdr:row>
                <xdr:rowOff>69850</xdr:rowOff>
              </to>
            </anchor>
          </controlPr>
        </control>
      </mc:Choice>
      <mc:Fallback>
        <control shapeId="9298" r:id="rId87" name="Opt1_10_3"/>
      </mc:Fallback>
    </mc:AlternateContent>
    <mc:AlternateContent xmlns:mc="http://schemas.openxmlformats.org/markup-compatibility/2006">
      <mc:Choice Requires="x14">
        <control shapeId="9299" r:id="rId88" name="Opt1_10_4">
          <controlPr defaultSize="0" altText="" r:id="rId8">
            <anchor moveWithCells="1">
              <from>
                <xdr:col>2</xdr:col>
                <xdr:colOff>381000</xdr:colOff>
                <xdr:row>249</xdr:row>
                <xdr:rowOff>76200</xdr:rowOff>
              </from>
              <to>
                <xdr:col>2</xdr:col>
                <xdr:colOff>546100</xdr:colOff>
                <xdr:row>249</xdr:row>
                <xdr:rowOff>260350</xdr:rowOff>
              </to>
            </anchor>
          </controlPr>
        </control>
      </mc:Choice>
      <mc:Fallback>
        <control shapeId="9299" r:id="rId88" name="Opt1_10_4"/>
      </mc:Fallback>
    </mc:AlternateContent>
    <mc:AlternateContent xmlns:mc="http://schemas.openxmlformats.org/markup-compatibility/2006">
      <mc:Choice Requires="x14">
        <control shapeId="9300" r:id="rId89" name="Opt1_10_5">
          <controlPr defaultSize="0" altText="" r:id="rId6">
            <anchor moveWithCells="1">
              <from>
                <xdr:col>2</xdr:col>
                <xdr:colOff>381000</xdr:colOff>
                <xdr:row>253</xdr:row>
                <xdr:rowOff>0</xdr:rowOff>
              </from>
              <to>
                <xdr:col>2</xdr:col>
                <xdr:colOff>546100</xdr:colOff>
                <xdr:row>254</xdr:row>
                <xdr:rowOff>31750</xdr:rowOff>
              </to>
            </anchor>
          </controlPr>
        </control>
      </mc:Choice>
      <mc:Fallback>
        <control shapeId="9300" r:id="rId89" name="Opt1_10_5"/>
      </mc:Fallback>
    </mc:AlternateContent>
    <mc:AlternateContent xmlns:mc="http://schemas.openxmlformats.org/markup-compatibility/2006">
      <mc:Choice Requires="x14">
        <control shapeId="9301" r:id="rId90" name="Opt1_11_1">
          <controlPr defaultSize="0" altText="" r:id="rId6">
            <anchor moveWithCells="1">
              <from>
                <xdr:col>2</xdr:col>
                <xdr:colOff>374650</xdr:colOff>
                <xdr:row>264</xdr:row>
                <xdr:rowOff>279400</xdr:rowOff>
              </from>
              <to>
                <xdr:col>2</xdr:col>
                <xdr:colOff>539750</xdr:colOff>
                <xdr:row>265</xdr:row>
                <xdr:rowOff>165100</xdr:rowOff>
              </to>
            </anchor>
          </controlPr>
        </control>
      </mc:Choice>
      <mc:Fallback>
        <control shapeId="9301" r:id="rId90" name="Opt1_11_1"/>
      </mc:Fallback>
    </mc:AlternateContent>
    <mc:AlternateContent xmlns:mc="http://schemas.openxmlformats.org/markup-compatibility/2006">
      <mc:Choice Requires="x14">
        <control shapeId="9302" r:id="rId91" name="Opt1_11_2">
          <controlPr defaultSize="0" altText="" r:id="rId6">
            <anchor moveWithCells="1">
              <from>
                <xdr:col>2</xdr:col>
                <xdr:colOff>361950</xdr:colOff>
                <xdr:row>280</xdr:row>
                <xdr:rowOff>50800</xdr:rowOff>
              </from>
              <to>
                <xdr:col>2</xdr:col>
                <xdr:colOff>527050</xdr:colOff>
                <xdr:row>280</xdr:row>
                <xdr:rowOff>234950</xdr:rowOff>
              </to>
            </anchor>
          </controlPr>
        </control>
      </mc:Choice>
      <mc:Fallback>
        <control shapeId="9302" r:id="rId91" name="Opt1_11_2"/>
      </mc:Fallback>
    </mc:AlternateContent>
    <mc:AlternateContent xmlns:mc="http://schemas.openxmlformats.org/markup-compatibility/2006">
      <mc:Choice Requires="x14">
        <control shapeId="9303" r:id="rId92" name="Opt1_11_3">
          <controlPr defaultSize="0" altText="" r:id="rId6">
            <anchor moveWithCells="1">
              <from>
                <xdr:col>2</xdr:col>
                <xdr:colOff>381000</xdr:colOff>
                <xdr:row>296</xdr:row>
                <xdr:rowOff>38100</xdr:rowOff>
              </from>
              <to>
                <xdr:col>2</xdr:col>
                <xdr:colOff>546100</xdr:colOff>
                <xdr:row>296</xdr:row>
                <xdr:rowOff>222250</xdr:rowOff>
              </to>
            </anchor>
          </controlPr>
        </control>
      </mc:Choice>
      <mc:Fallback>
        <control shapeId="9303" r:id="rId92" name="Opt1_11_3"/>
      </mc:Fallback>
    </mc:AlternateContent>
    <mc:AlternateContent xmlns:mc="http://schemas.openxmlformats.org/markup-compatibility/2006">
      <mc:Choice Requires="x14">
        <control shapeId="9304" r:id="rId93" name="Opt1_11_4">
          <controlPr defaultSize="0" altText="" r:id="rId8">
            <anchor moveWithCells="1">
              <from>
                <xdr:col>2</xdr:col>
                <xdr:colOff>374650</xdr:colOff>
                <xdr:row>312</xdr:row>
                <xdr:rowOff>31750</xdr:rowOff>
              </from>
              <to>
                <xdr:col>2</xdr:col>
                <xdr:colOff>539750</xdr:colOff>
                <xdr:row>312</xdr:row>
                <xdr:rowOff>215900</xdr:rowOff>
              </to>
            </anchor>
          </controlPr>
        </control>
      </mc:Choice>
      <mc:Fallback>
        <control shapeId="9304" r:id="rId93" name="Opt1_11_4"/>
      </mc:Fallback>
    </mc:AlternateContent>
    <mc:AlternateContent xmlns:mc="http://schemas.openxmlformats.org/markup-compatibility/2006">
      <mc:Choice Requires="x14">
        <control shapeId="9305" r:id="rId94" name="Opt1_11_5">
          <controlPr defaultSize="0" altText="" r:id="rId6">
            <anchor moveWithCells="1">
              <from>
                <xdr:col>2</xdr:col>
                <xdr:colOff>361950</xdr:colOff>
                <xdr:row>328</xdr:row>
                <xdr:rowOff>165100</xdr:rowOff>
              </from>
              <to>
                <xdr:col>2</xdr:col>
                <xdr:colOff>527050</xdr:colOff>
                <xdr:row>328</xdr:row>
                <xdr:rowOff>349250</xdr:rowOff>
              </to>
            </anchor>
          </controlPr>
        </control>
      </mc:Choice>
      <mc:Fallback>
        <control shapeId="9305" r:id="rId94" name="Opt1_11_5"/>
      </mc:Fallback>
    </mc:AlternateContent>
    <mc:AlternateContent xmlns:mc="http://schemas.openxmlformats.org/markup-compatibility/2006">
      <mc:Choice Requires="x14">
        <control shapeId="9306" r:id="rId95" name="Opt1_10_2_1">
          <controlPr defaultSize="0" altText="" r:id="rId6">
            <anchor moveWithCells="1">
              <from>
                <xdr:col>6</xdr:col>
                <xdr:colOff>361950</xdr:colOff>
                <xdr:row>237</xdr:row>
                <xdr:rowOff>0</xdr:rowOff>
              </from>
              <to>
                <xdr:col>6</xdr:col>
                <xdr:colOff>527050</xdr:colOff>
                <xdr:row>237</xdr:row>
                <xdr:rowOff>184150</xdr:rowOff>
              </to>
            </anchor>
          </controlPr>
        </control>
      </mc:Choice>
      <mc:Fallback>
        <control shapeId="9306" r:id="rId95" name="Opt1_10_2_1"/>
      </mc:Fallback>
    </mc:AlternateContent>
    <mc:AlternateContent xmlns:mc="http://schemas.openxmlformats.org/markup-compatibility/2006">
      <mc:Choice Requires="x14">
        <control shapeId="9307" r:id="rId96" name="Opt1_10_2_2">
          <controlPr defaultSize="0" altText="" r:id="rId31">
            <anchor moveWithCells="1">
              <from>
                <xdr:col>6</xdr:col>
                <xdr:colOff>361950</xdr:colOff>
                <xdr:row>241</xdr:row>
                <xdr:rowOff>0</xdr:rowOff>
              </from>
              <to>
                <xdr:col>6</xdr:col>
                <xdr:colOff>520700</xdr:colOff>
                <xdr:row>242</xdr:row>
                <xdr:rowOff>38100</xdr:rowOff>
              </to>
            </anchor>
          </controlPr>
        </control>
      </mc:Choice>
      <mc:Fallback>
        <control shapeId="9307" r:id="rId96" name="Opt1_10_2_2"/>
      </mc:Fallback>
    </mc:AlternateContent>
    <mc:AlternateContent xmlns:mc="http://schemas.openxmlformats.org/markup-compatibility/2006">
      <mc:Choice Requires="x14">
        <control shapeId="9308" r:id="rId97" name="Opt1_10_2_3">
          <controlPr defaultSize="0" altText="" r:id="rId54">
            <anchor moveWithCells="1">
              <from>
                <xdr:col>6</xdr:col>
                <xdr:colOff>374650</xdr:colOff>
                <xdr:row>245</xdr:row>
                <xdr:rowOff>19050</xdr:rowOff>
              </from>
              <to>
                <xdr:col>6</xdr:col>
                <xdr:colOff>539750</xdr:colOff>
                <xdr:row>246</xdr:row>
                <xdr:rowOff>38100</xdr:rowOff>
              </to>
            </anchor>
          </controlPr>
        </control>
      </mc:Choice>
      <mc:Fallback>
        <control shapeId="9308" r:id="rId97" name="Opt1_10_2_3"/>
      </mc:Fallback>
    </mc:AlternateContent>
    <mc:AlternateContent xmlns:mc="http://schemas.openxmlformats.org/markup-compatibility/2006">
      <mc:Choice Requires="x14">
        <control shapeId="9309" r:id="rId98" name="Opt1_10_2_4">
          <controlPr defaultSize="0" altText="" r:id="rId54">
            <anchor moveWithCells="1">
              <from>
                <xdr:col>6</xdr:col>
                <xdr:colOff>381000</xdr:colOff>
                <xdr:row>249</xdr:row>
                <xdr:rowOff>69850</xdr:rowOff>
              </from>
              <to>
                <xdr:col>6</xdr:col>
                <xdr:colOff>546100</xdr:colOff>
                <xdr:row>249</xdr:row>
                <xdr:rowOff>241300</xdr:rowOff>
              </to>
            </anchor>
          </controlPr>
        </control>
      </mc:Choice>
      <mc:Fallback>
        <control shapeId="9309" r:id="rId98" name="Opt1_10_2_4"/>
      </mc:Fallback>
    </mc:AlternateContent>
    <mc:AlternateContent xmlns:mc="http://schemas.openxmlformats.org/markup-compatibility/2006">
      <mc:Choice Requires="x14">
        <control shapeId="9310" r:id="rId99" name="Opt1_10_2_5">
          <controlPr defaultSize="0" altText="" r:id="rId54">
            <anchor moveWithCells="1">
              <from>
                <xdr:col>6</xdr:col>
                <xdr:colOff>361950</xdr:colOff>
                <xdr:row>253</xdr:row>
                <xdr:rowOff>0</xdr:rowOff>
              </from>
              <to>
                <xdr:col>6</xdr:col>
                <xdr:colOff>527050</xdr:colOff>
                <xdr:row>254</xdr:row>
                <xdr:rowOff>19050</xdr:rowOff>
              </to>
            </anchor>
          </controlPr>
        </control>
      </mc:Choice>
      <mc:Fallback>
        <control shapeId="9310" r:id="rId99" name="Opt1_10_2_5"/>
      </mc:Fallback>
    </mc:AlternateContent>
    <mc:AlternateContent xmlns:mc="http://schemas.openxmlformats.org/markup-compatibility/2006">
      <mc:Choice Requires="x14">
        <control shapeId="9311" r:id="rId100" name="Opt1_11_2_1">
          <controlPr defaultSize="0" altText="" r:id="rId6">
            <anchor moveWithCells="1">
              <from>
                <xdr:col>6</xdr:col>
                <xdr:colOff>361950</xdr:colOff>
                <xdr:row>264</xdr:row>
                <xdr:rowOff>285750</xdr:rowOff>
              </from>
              <to>
                <xdr:col>6</xdr:col>
                <xdr:colOff>527050</xdr:colOff>
                <xdr:row>265</xdr:row>
                <xdr:rowOff>171450</xdr:rowOff>
              </to>
            </anchor>
          </controlPr>
        </control>
      </mc:Choice>
      <mc:Fallback>
        <control shapeId="9311" r:id="rId100" name="Opt1_11_2_1"/>
      </mc:Fallback>
    </mc:AlternateContent>
    <mc:AlternateContent xmlns:mc="http://schemas.openxmlformats.org/markup-compatibility/2006">
      <mc:Choice Requires="x14">
        <control shapeId="9312" r:id="rId101" name="Opt1_11_2_2">
          <controlPr defaultSize="0" altText="" r:id="rId31">
            <anchor moveWithCells="1">
              <from>
                <xdr:col>6</xdr:col>
                <xdr:colOff>336550</xdr:colOff>
                <xdr:row>280</xdr:row>
                <xdr:rowOff>50800</xdr:rowOff>
              </from>
              <to>
                <xdr:col>6</xdr:col>
                <xdr:colOff>495300</xdr:colOff>
                <xdr:row>280</xdr:row>
                <xdr:rowOff>234950</xdr:rowOff>
              </to>
            </anchor>
          </controlPr>
        </control>
      </mc:Choice>
      <mc:Fallback>
        <control shapeId="9312" r:id="rId101" name="Opt1_11_2_2"/>
      </mc:Fallback>
    </mc:AlternateContent>
    <mc:AlternateContent xmlns:mc="http://schemas.openxmlformats.org/markup-compatibility/2006">
      <mc:Choice Requires="x14">
        <control shapeId="9313" r:id="rId102" name="Opt1_11_2_3">
          <controlPr defaultSize="0" altText="" r:id="rId103">
            <anchor moveWithCells="1">
              <from>
                <xdr:col>6</xdr:col>
                <xdr:colOff>361950</xdr:colOff>
                <xdr:row>296</xdr:row>
                <xdr:rowOff>31750</xdr:rowOff>
              </from>
              <to>
                <xdr:col>6</xdr:col>
                <xdr:colOff>520700</xdr:colOff>
                <xdr:row>296</xdr:row>
                <xdr:rowOff>215900</xdr:rowOff>
              </to>
            </anchor>
          </controlPr>
        </control>
      </mc:Choice>
      <mc:Fallback>
        <control shapeId="9313" r:id="rId102" name="Opt1_11_2_3"/>
      </mc:Fallback>
    </mc:AlternateContent>
    <mc:AlternateContent xmlns:mc="http://schemas.openxmlformats.org/markup-compatibility/2006">
      <mc:Choice Requires="x14">
        <control shapeId="9314" r:id="rId104" name="Opt1_11_2_4">
          <controlPr defaultSize="0" altText="" r:id="rId6">
            <anchor moveWithCells="1">
              <from>
                <xdr:col>6</xdr:col>
                <xdr:colOff>361950</xdr:colOff>
                <xdr:row>312</xdr:row>
                <xdr:rowOff>38100</xdr:rowOff>
              </from>
              <to>
                <xdr:col>6</xdr:col>
                <xdr:colOff>527050</xdr:colOff>
                <xdr:row>312</xdr:row>
                <xdr:rowOff>222250</xdr:rowOff>
              </to>
            </anchor>
          </controlPr>
        </control>
      </mc:Choice>
      <mc:Fallback>
        <control shapeId="9314" r:id="rId104" name="Opt1_11_2_4"/>
      </mc:Fallback>
    </mc:AlternateContent>
    <mc:AlternateContent xmlns:mc="http://schemas.openxmlformats.org/markup-compatibility/2006">
      <mc:Choice Requires="x14">
        <control shapeId="9315" r:id="rId105" name="Opt1_11_2_5">
          <controlPr defaultSize="0" altText="" r:id="rId6">
            <anchor moveWithCells="1">
              <from>
                <xdr:col>6</xdr:col>
                <xdr:colOff>336550</xdr:colOff>
                <xdr:row>328</xdr:row>
                <xdr:rowOff>146050</xdr:rowOff>
              </from>
              <to>
                <xdr:col>6</xdr:col>
                <xdr:colOff>501650</xdr:colOff>
                <xdr:row>328</xdr:row>
                <xdr:rowOff>330200</xdr:rowOff>
              </to>
            </anchor>
          </controlPr>
        </control>
      </mc:Choice>
      <mc:Fallback>
        <control shapeId="9315" r:id="rId105" name="Opt1_11_2_5"/>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L111"/>
  <sheetViews>
    <sheetView view="pageBreakPreview" zoomScale="60" zoomScaleNormal="100" workbookViewId="0">
      <selection activeCell="I7" sqref="I7"/>
    </sheetView>
  </sheetViews>
  <sheetFormatPr defaultColWidth="9.1796875" defaultRowHeight="14"/>
  <cols>
    <col min="1" max="1" width="24.1796875" style="189" customWidth="1"/>
    <col min="2" max="2" width="26.453125" style="69" customWidth="1"/>
    <col min="3" max="3" width="2.7265625" style="190" customWidth="1"/>
    <col min="4" max="4" width="53.26953125" style="70" customWidth="1"/>
    <col min="5" max="5" width="38.81640625" style="191" customWidth="1"/>
    <col min="6" max="6" width="26.453125" style="69" customWidth="1"/>
    <col min="7" max="7" width="2.7265625" style="192" customWidth="1"/>
    <col min="8" max="8" width="64.1796875" style="70" customWidth="1"/>
    <col min="9" max="9" width="35.81640625" style="193" customWidth="1"/>
    <col min="10" max="10" width="9.1796875" style="69"/>
    <col min="11" max="11" width="42.7265625" style="194" customWidth="1"/>
    <col min="12" max="12" width="20.453125" style="195" customWidth="1"/>
    <col min="13" max="16384" width="9.1796875" style="69"/>
  </cols>
  <sheetData>
    <row r="1" spans="1:12" s="188" customFormat="1" ht="30" customHeight="1">
      <c r="A1" s="465" t="s">
        <v>305</v>
      </c>
      <c r="B1" s="466"/>
      <c r="C1" s="466"/>
      <c r="D1" s="466"/>
      <c r="E1" s="466"/>
      <c r="F1" s="466"/>
      <c r="G1" s="466"/>
      <c r="H1" s="466"/>
      <c r="I1" s="467"/>
      <c r="K1" s="201"/>
      <c r="L1" s="202"/>
    </row>
    <row r="2" spans="1:12" s="188" customFormat="1" ht="15" customHeight="1">
      <c r="A2" s="287" t="s">
        <v>2</v>
      </c>
      <c r="B2" s="288"/>
      <c r="C2" s="288"/>
      <c r="D2" s="288"/>
      <c r="E2" s="288"/>
      <c r="F2" s="288"/>
      <c r="G2" s="288"/>
      <c r="H2" s="288"/>
      <c r="I2" s="289"/>
      <c r="K2" s="203"/>
      <c r="L2" s="204"/>
    </row>
    <row r="3" spans="1:12" s="188" customFormat="1" ht="11.5">
      <c r="A3" s="400"/>
      <c r="B3" s="401"/>
      <c r="C3" s="401"/>
      <c r="D3" s="401"/>
      <c r="E3" s="401"/>
      <c r="F3" s="401"/>
      <c r="G3" s="401"/>
      <c r="H3" s="401"/>
      <c r="I3" s="402"/>
      <c r="K3" s="201"/>
      <c r="L3" s="202"/>
    </row>
    <row r="4" spans="1:12" s="188" customFormat="1" ht="15" customHeight="1">
      <c r="A4" s="287" t="s">
        <v>3</v>
      </c>
      <c r="B4" s="288"/>
      <c r="C4" s="288"/>
      <c r="D4" s="288"/>
      <c r="E4" s="288"/>
      <c r="F4" s="288"/>
      <c r="G4" s="288"/>
      <c r="H4" s="288"/>
      <c r="I4" s="289"/>
      <c r="K4" s="201"/>
      <c r="L4" s="202"/>
    </row>
    <row r="5" spans="1:12" s="188" customFormat="1" ht="15.75" customHeight="1">
      <c r="A5" s="290"/>
      <c r="B5" s="291"/>
      <c r="C5" s="291"/>
      <c r="D5" s="291"/>
      <c r="E5" s="291"/>
      <c r="F5" s="291"/>
      <c r="G5" s="291"/>
      <c r="H5" s="291"/>
      <c r="I5" s="292"/>
      <c r="K5" s="201"/>
      <c r="L5" s="202"/>
    </row>
    <row r="6" spans="1:12" s="188" customFormat="1" ht="15.75" customHeight="1">
      <c r="A6" s="468" t="s">
        <v>4</v>
      </c>
      <c r="B6" s="469"/>
      <c r="C6" s="469"/>
      <c r="D6" s="469"/>
      <c r="E6" s="469"/>
      <c r="F6" s="469"/>
      <c r="G6" s="469"/>
      <c r="H6" s="469"/>
      <c r="I6" s="470"/>
      <c r="K6" s="201"/>
      <c r="L6" s="202"/>
    </row>
    <row r="7" spans="1:12" ht="36.75" customHeight="1">
      <c r="A7" s="162" t="s">
        <v>306</v>
      </c>
      <c r="B7" s="163" t="s">
        <v>7</v>
      </c>
      <c r="C7" s="380" t="s">
        <v>8</v>
      </c>
      <c r="D7" s="380"/>
      <c r="E7" s="164" t="s">
        <v>708</v>
      </c>
      <c r="F7" s="164" t="s">
        <v>7</v>
      </c>
      <c r="G7" s="196"/>
      <c r="H7" s="164" t="s">
        <v>9</v>
      </c>
      <c r="I7" s="164" t="s">
        <v>708</v>
      </c>
    </row>
    <row r="8" spans="1:12" ht="45" customHeight="1">
      <c r="A8" s="471" t="s">
        <v>307</v>
      </c>
      <c r="B8" s="424" t="s">
        <v>11</v>
      </c>
      <c r="C8" s="19" t="s">
        <v>15</v>
      </c>
      <c r="D8" s="142" t="s">
        <v>308</v>
      </c>
      <c r="E8" s="133"/>
      <c r="F8" s="424" t="s">
        <v>11</v>
      </c>
      <c r="G8" s="19" t="s">
        <v>15</v>
      </c>
      <c r="H8" s="197" t="s">
        <v>309</v>
      </c>
      <c r="I8" s="396"/>
      <c r="J8" s="205"/>
    </row>
    <row r="9" spans="1:12" ht="15.75" customHeight="1">
      <c r="A9" s="472"/>
      <c r="B9" s="425"/>
      <c r="C9" s="414" t="s">
        <v>19</v>
      </c>
      <c r="D9" s="453" t="s">
        <v>310</v>
      </c>
      <c r="E9" s="455"/>
      <c r="F9" s="425"/>
      <c r="G9" s="20" t="s">
        <v>19</v>
      </c>
      <c r="H9" s="186" t="s">
        <v>311</v>
      </c>
      <c r="I9" s="397"/>
      <c r="J9" s="205"/>
    </row>
    <row r="10" spans="1:12" ht="26">
      <c r="A10" s="472"/>
      <c r="B10" s="426"/>
      <c r="C10" s="415"/>
      <c r="D10" s="454"/>
      <c r="E10" s="456"/>
      <c r="F10" s="426"/>
      <c r="G10" s="20" t="s">
        <v>24</v>
      </c>
      <c r="H10" s="186" t="s">
        <v>312</v>
      </c>
      <c r="I10" s="398"/>
      <c r="J10" s="205"/>
    </row>
    <row r="11" spans="1:12" ht="39">
      <c r="A11" s="472"/>
      <c r="B11" s="427" t="s">
        <v>14</v>
      </c>
      <c r="C11" s="20" t="s">
        <v>15</v>
      </c>
      <c r="D11" s="102" t="s">
        <v>313</v>
      </c>
      <c r="E11" s="126"/>
      <c r="F11" s="427" t="s">
        <v>14</v>
      </c>
      <c r="G11" s="20" t="s">
        <v>15</v>
      </c>
      <c r="H11" s="186" t="s">
        <v>309</v>
      </c>
      <c r="I11" s="394"/>
      <c r="J11" s="205"/>
    </row>
    <row r="12" spans="1:12" ht="26">
      <c r="A12" s="472"/>
      <c r="B12" s="428"/>
      <c r="C12" s="20" t="s">
        <v>19</v>
      </c>
      <c r="D12" s="102" t="s">
        <v>314</v>
      </c>
      <c r="E12" s="126"/>
      <c r="F12" s="428"/>
      <c r="G12" s="20" t="s">
        <v>19</v>
      </c>
      <c r="H12" s="186" t="s">
        <v>311</v>
      </c>
      <c r="I12" s="397"/>
      <c r="J12" s="205"/>
    </row>
    <row r="13" spans="1:12" ht="26">
      <c r="A13" s="472"/>
      <c r="B13" s="428"/>
      <c r="C13" s="20" t="s">
        <v>24</v>
      </c>
      <c r="D13" s="102" t="s">
        <v>315</v>
      </c>
      <c r="E13" s="126"/>
      <c r="F13" s="428"/>
      <c r="G13" s="414" t="s">
        <v>24</v>
      </c>
      <c r="H13" s="403" t="s">
        <v>316</v>
      </c>
      <c r="I13" s="397"/>
      <c r="J13" s="205"/>
    </row>
    <row r="14" spans="1:12" ht="26">
      <c r="A14" s="472"/>
      <c r="B14" s="429"/>
      <c r="C14" s="20" t="s">
        <v>36</v>
      </c>
      <c r="D14" s="102" t="s">
        <v>317</v>
      </c>
      <c r="E14" s="126"/>
      <c r="F14" s="429"/>
      <c r="G14" s="415"/>
      <c r="H14" s="406"/>
      <c r="I14" s="398"/>
      <c r="J14" s="205"/>
    </row>
    <row r="15" spans="1:12" ht="39">
      <c r="A15" s="472"/>
      <c r="B15" s="430" t="s">
        <v>17</v>
      </c>
      <c r="C15" s="20" t="s">
        <v>15</v>
      </c>
      <c r="D15" s="102" t="s">
        <v>318</v>
      </c>
      <c r="E15" s="126"/>
      <c r="F15" s="430" t="s">
        <v>17</v>
      </c>
      <c r="G15" s="20" t="s">
        <v>15</v>
      </c>
      <c r="H15" s="186" t="s">
        <v>319</v>
      </c>
      <c r="I15" s="394"/>
      <c r="J15" s="205"/>
    </row>
    <row r="16" spans="1:12" ht="26">
      <c r="A16" s="472"/>
      <c r="B16" s="431"/>
      <c r="C16" s="20" t="s">
        <v>19</v>
      </c>
      <c r="D16" s="102" t="s">
        <v>320</v>
      </c>
      <c r="E16" s="126"/>
      <c r="F16" s="431"/>
      <c r="G16" s="20" t="s">
        <v>19</v>
      </c>
      <c r="H16" s="186" t="s">
        <v>321</v>
      </c>
      <c r="I16" s="397"/>
      <c r="J16" s="205"/>
    </row>
    <row r="17" spans="1:10" ht="26">
      <c r="A17" s="472"/>
      <c r="B17" s="431"/>
      <c r="C17" s="20" t="s">
        <v>24</v>
      </c>
      <c r="D17" s="102" t="s">
        <v>322</v>
      </c>
      <c r="E17" s="126"/>
      <c r="F17" s="431"/>
      <c r="G17" s="414" t="s">
        <v>24</v>
      </c>
      <c r="H17" s="403" t="s">
        <v>323</v>
      </c>
      <c r="I17" s="397"/>
      <c r="J17" s="205"/>
    </row>
    <row r="18" spans="1:10" ht="26">
      <c r="A18" s="472"/>
      <c r="B18" s="432"/>
      <c r="C18" s="20" t="s">
        <v>36</v>
      </c>
      <c r="D18" s="102" t="s">
        <v>324</v>
      </c>
      <c r="E18" s="126"/>
      <c r="F18" s="432"/>
      <c r="G18" s="415"/>
      <c r="H18" s="406"/>
      <c r="I18" s="398"/>
      <c r="J18" s="205"/>
    </row>
    <row r="19" spans="1:10" ht="39">
      <c r="A19" s="472"/>
      <c r="B19" s="433" t="s">
        <v>22</v>
      </c>
      <c r="C19" s="20" t="s">
        <v>15</v>
      </c>
      <c r="D19" s="102" t="s">
        <v>325</v>
      </c>
      <c r="E19" s="126"/>
      <c r="F19" s="433" t="s">
        <v>22</v>
      </c>
      <c r="G19" s="414" t="s">
        <v>15</v>
      </c>
      <c r="H19" s="403" t="s">
        <v>326</v>
      </c>
      <c r="I19" s="394"/>
      <c r="J19" s="205"/>
    </row>
    <row r="20" spans="1:10" ht="26">
      <c r="A20" s="472"/>
      <c r="B20" s="434"/>
      <c r="C20" s="20" t="s">
        <v>19</v>
      </c>
      <c r="D20" s="102" t="s">
        <v>327</v>
      </c>
      <c r="E20" s="126"/>
      <c r="F20" s="434"/>
      <c r="G20" s="416"/>
      <c r="H20" s="407"/>
      <c r="I20" s="397"/>
      <c r="J20" s="205"/>
    </row>
    <row r="21" spans="1:10" ht="26">
      <c r="A21" s="472"/>
      <c r="B21" s="434"/>
      <c r="C21" s="20" t="s">
        <v>24</v>
      </c>
      <c r="D21" s="102" t="s">
        <v>328</v>
      </c>
      <c r="E21" s="126"/>
      <c r="F21" s="434"/>
      <c r="G21" s="416"/>
      <c r="H21" s="407"/>
      <c r="I21" s="397"/>
      <c r="J21" s="205"/>
    </row>
    <row r="22" spans="1:10" ht="26">
      <c r="A22" s="472"/>
      <c r="B22" s="435"/>
      <c r="C22" s="20" t="s">
        <v>36</v>
      </c>
      <c r="D22" s="102" t="s">
        <v>329</v>
      </c>
      <c r="E22" s="126"/>
      <c r="F22" s="435"/>
      <c r="G22" s="415"/>
      <c r="H22" s="406"/>
      <c r="I22" s="398"/>
      <c r="J22" s="205"/>
    </row>
    <row r="23" spans="1:10" ht="39">
      <c r="A23" s="472"/>
      <c r="B23" s="450" t="s">
        <v>26</v>
      </c>
      <c r="C23" s="20" t="s">
        <v>15</v>
      </c>
      <c r="D23" s="102" t="s">
        <v>330</v>
      </c>
      <c r="E23" s="126"/>
      <c r="F23" s="450" t="s">
        <v>26</v>
      </c>
      <c r="G23" s="417" t="s">
        <v>15</v>
      </c>
      <c r="H23" s="408" t="s">
        <v>331</v>
      </c>
      <c r="I23" s="394"/>
      <c r="J23" s="205"/>
    </row>
    <row r="24" spans="1:10" ht="26">
      <c r="A24" s="472"/>
      <c r="B24" s="451"/>
      <c r="C24" s="20" t="s">
        <v>19</v>
      </c>
      <c r="D24" s="95" t="s">
        <v>332</v>
      </c>
      <c r="E24" s="126"/>
      <c r="F24" s="451"/>
      <c r="G24" s="417"/>
      <c r="H24" s="409"/>
      <c r="I24" s="399"/>
    </row>
    <row r="25" spans="1:10">
      <c r="A25" s="472"/>
      <c r="B25" s="451"/>
      <c r="C25" s="20" t="s">
        <v>24</v>
      </c>
      <c r="D25" s="102" t="s">
        <v>333</v>
      </c>
      <c r="E25" s="126"/>
      <c r="F25" s="451"/>
      <c r="G25" s="417"/>
      <c r="H25" s="409"/>
      <c r="I25" s="399"/>
    </row>
    <row r="26" spans="1:10" ht="26">
      <c r="A26" s="473"/>
      <c r="B26" s="452"/>
      <c r="C26" s="24" t="s">
        <v>36</v>
      </c>
      <c r="D26" s="144" t="s">
        <v>334</v>
      </c>
      <c r="E26" s="131"/>
      <c r="F26" s="452"/>
      <c r="G26" s="418"/>
      <c r="H26" s="410"/>
      <c r="I26" s="395"/>
    </row>
    <row r="27" spans="1:10" ht="15" customHeight="1">
      <c r="A27" s="287" t="s">
        <v>3</v>
      </c>
      <c r="B27" s="288"/>
      <c r="C27" s="288"/>
      <c r="D27" s="288"/>
      <c r="E27" s="288"/>
      <c r="F27" s="288"/>
      <c r="G27" s="288"/>
      <c r="H27" s="288"/>
      <c r="I27" s="289"/>
    </row>
    <row r="28" spans="1:10">
      <c r="A28" s="290"/>
      <c r="B28" s="291"/>
      <c r="C28" s="291"/>
      <c r="D28" s="291"/>
      <c r="E28" s="291"/>
      <c r="F28" s="291"/>
      <c r="G28" s="291"/>
      <c r="H28" s="291"/>
      <c r="I28" s="292"/>
    </row>
    <row r="29" spans="1:10" ht="26">
      <c r="A29" s="474" t="s">
        <v>335</v>
      </c>
      <c r="B29" s="438" t="s">
        <v>11</v>
      </c>
      <c r="C29" s="19" t="s">
        <v>15</v>
      </c>
      <c r="D29" s="142" t="s">
        <v>336</v>
      </c>
      <c r="E29" s="133"/>
      <c r="F29" s="438" t="s">
        <v>11</v>
      </c>
      <c r="G29" s="19" t="s">
        <v>15</v>
      </c>
      <c r="H29" s="197" t="s">
        <v>337</v>
      </c>
      <c r="I29" s="396"/>
      <c r="J29" s="205"/>
    </row>
    <row r="30" spans="1:10" ht="15.75" customHeight="1">
      <c r="A30" s="475"/>
      <c r="B30" s="439"/>
      <c r="C30" s="414" t="s">
        <v>19</v>
      </c>
      <c r="D30" s="453" t="s">
        <v>338</v>
      </c>
      <c r="E30" s="455"/>
      <c r="F30" s="439"/>
      <c r="G30" s="20" t="s">
        <v>19</v>
      </c>
      <c r="H30" s="186" t="s">
        <v>311</v>
      </c>
      <c r="I30" s="397"/>
      <c r="J30" s="205"/>
    </row>
    <row r="31" spans="1:10" ht="26">
      <c r="A31" s="475"/>
      <c r="B31" s="440"/>
      <c r="C31" s="415"/>
      <c r="D31" s="454"/>
      <c r="E31" s="456"/>
      <c r="F31" s="440"/>
      <c r="G31" s="20" t="s">
        <v>24</v>
      </c>
      <c r="H31" s="186" t="s">
        <v>312</v>
      </c>
      <c r="I31" s="398"/>
      <c r="J31" s="205"/>
    </row>
    <row r="32" spans="1:10" ht="39">
      <c r="A32" s="475"/>
      <c r="B32" s="427" t="s">
        <v>14</v>
      </c>
      <c r="C32" s="20" t="s">
        <v>15</v>
      </c>
      <c r="D32" s="125" t="s">
        <v>339</v>
      </c>
      <c r="E32" s="126"/>
      <c r="F32" s="427" t="s">
        <v>14</v>
      </c>
      <c r="G32" s="20" t="s">
        <v>15</v>
      </c>
      <c r="H32" s="186" t="s">
        <v>337</v>
      </c>
      <c r="I32" s="394"/>
      <c r="J32" s="205"/>
    </row>
    <row r="33" spans="1:10" ht="26">
      <c r="A33" s="475"/>
      <c r="B33" s="428"/>
      <c r="C33" s="20" t="s">
        <v>19</v>
      </c>
      <c r="D33" s="102" t="s">
        <v>340</v>
      </c>
      <c r="E33" s="126"/>
      <c r="F33" s="428"/>
      <c r="G33" s="20" t="s">
        <v>19</v>
      </c>
      <c r="H33" s="186" t="s">
        <v>311</v>
      </c>
      <c r="I33" s="397"/>
      <c r="J33" s="205"/>
    </row>
    <row r="34" spans="1:10" ht="26">
      <c r="A34" s="475"/>
      <c r="B34" s="428"/>
      <c r="C34" s="20" t="s">
        <v>24</v>
      </c>
      <c r="D34" s="102" t="s">
        <v>341</v>
      </c>
      <c r="E34" s="126"/>
      <c r="F34" s="428"/>
      <c r="G34" s="419" t="s">
        <v>24</v>
      </c>
      <c r="H34" s="403" t="s">
        <v>316</v>
      </c>
      <c r="I34" s="397"/>
      <c r="J34" s="205"/>
    </row>
    <row r="35" spans="1:10" ht="26">
      <c r="A35" s="475"/>
      <c r="B35" s="429"/>
      <c r="C35" s="20" t="s">
        <v>36</v>
      </c>
      <c r="D35" s="102" t="s">
        <v>342</v>
      </c>
      <c r="E35" s="126"/>
      <c r="F35" s="429"/>
      <c r="G35" s="420"/>
      <c r="H35" s="406"/>
      <c r="I35" s="398"/>
      <c r="J35" s="205"/>
    </row>
    <row r="36" spans="1:10" ht="39">
      <c r="A36" s="475"/>
      <c r="B36" s="444" t="s">
        <v>17</v>
      </c>
      <c r="C36" s="20" t="s">
        <v>15</v>
      </c>
      <c r="D36" s="125" t="s">
        <v>343</v>
      </c>
      <c r="E36" s="126"/>
      <c r="F36" s="444" t="s">
        <v>17</v>
      </c>
      <c r="G36" s="20" t="s">
        <v>15</v>
      </c>
      <c r="H36" s="186" t="s">
        <v>344</v>
      </c>
      <c r="I36" s="394"/>
      <c r="J36" s="205"/>
    </row>
    <row r="37" spans="1:10" ht="26">
      <c r="A37" s="475"/>
      <c r="B37" s="445"/>
      <c r="C37" s="20" t="s">
        <v>19</v>
      </c>
      <c r="D37" s="102" t="s">
        <v>345</v>
      </c>
      <c r="E37" s="126"/>
      <c r="F37" s="445"/>
      <c r="G37" s="20" t="s">
        <v>19</v>
      </c>
      <c r="H37" s="186" t="s">
        <v>311</v>
      </c>
      <c r="I37" s="397"/>
      <c r="J37" s="205"/>
    </row>
    <row r="38" spans="1:10" ht="26">
      <c r="A38" s="475"/>
      <c r="B38" s="445"/>
      <c r="C38" s="20" t="s">
        <v>24</v>
      </c>
      <c r="D38" s="102" t="s">
        <v>346</v>
      </c>
      <c r="E38" s="126"/>
      <c r="F38" s="445"/>
      <c r="G38" s="414" t="s">
        <v>24</v>
      </c>
      <c r="H38" s="403" t="s">
        <v>347</v>
      </c>
      <c r="I38" s="397"/>
      <c r="J38" s="205"/>
    </row>
    <row r="39" spans="1:10" ht="26">
      <c r="A39" s="475"/>
      <c r="B39" s="446"/>
      <c r="C39" s="20" t="s">
        <v>36</v>
      </c>
      <c r="D39" s="102" t="s">
        <v>348</v>
      </c>
      <c r="E39" s="126"/>
      <c r="F39" s="446"/>
      <c r="G39" s="415"/>
      <c r="H39" s="406"/>
      <c r="I39" s="398"/>
      <c r="J39" s="205"/>
    </row>
    <row r="40" spans="1:10" ht="39">
      <c r="A40" s="475"/>
      <c r="B40" s="447" t="s">
        <v>22</v>
      </c>
      <c r="C40" s="20" t="s">
        <v>15</v>
      </c>
      <c r="D40" s="125" t="s">
        <v>349</v>
      </c>
      <c r="E40" s="126"/>
      <c r="F40" s="447" t="s">
        <v>22</v>
      </c>
      <c r="G40" s="414" t="s">
        <v>15</v>
      </c>
      <c r="H40" s="403" t="s">
        <v>326</v>
      </c>
      <c r="I40" s="394"/>
      <c r="J40" s="205"/>
    </row>
    <row r="41" spans="1:10" ht="26">
      <c r="A41" s="475"/>
      <c r="B41" s="448"/>
      <c r="C41" s="20" t="s">
        <v>19</v>
      </c>
      <c r="D41" s="102" t="s">
        <v>350</v>
      </c>
      <c r="E41" s="126"/>
      <c r="F41" s="448"/>
      <c r="G41" s="416"/>
      <c r="H41" s="407"/>
      <c r="I41" s="397"/>
      <c r="J41" s="205"/>
    </row>
    <row r="42" spans="1:10" ht="26">
      <c r="A42" s="475"/>
      <c r="B42" s="448"/>
      <c r="C42" s="20" t="s">
        <v>24</v>
      </c>
      <c r="D42" s="102" t="s">
        <v>351</v>
      </c>
      <c r="E42" s="126"/>
      <c r="F42" s="448"/>
      <c r="G42" s="416"/>
      <c r="H42" s="407"/>
      <c r="I42" s="397"/>
      <c r="J42" s="205"/>
    </row>
    <row r="43" spans="1:10" ht="26">
      <c r="A43" s="475"/>
      <c r="B43" s="449"/>
      <c r="C43" s="20" t="s">
        <v>36</v>
      </c>
      <c r="D43" s="102" t="s">
        <v>352</v>
      </c>
      <c r="E43" s="126"/>
      <c r="F43" s="449"/>
      <c r="G43" s="415"/>
      <c r="H43" s="406"/>
      <c r="I43" s="398"/>
      <c r="J43" s="205"/>
    </row>
    <row r="44" spans="1:10" ht="26">
      <c r="A44" s="475"/>
      <c r="B44" s="411" t="s">
        <v>26</v>
      </c>
      <c r="C44" s="20" t="s">
        <v>15</v>
      </c>
      <c r="D44" s="125" t="s">
        <v>353</v>
      </c>
      <c r="E44" s="126"/>
      <c r="F44" s="411" t="s">
        <v>26</v>
      </c>
      <c r="G44" s="419" t="s">
        <v>15</v>
      </c>
      <c r="H44" s="403" t="s">
        <v>331</v>
      </c>
      <c r="I44" s="394"/>
      <c r="J44" s="205"/>
    </row>
    <row r="45" spans="1:10" ht="26">
      <c r="A45" s="475"/>
      <c r="B45" s="412"/>
      <c r="C45" s="20" t="s">
        <v>19</v>
      </c>
      <c r="D45" s="102" t="s">
        <v>354</v>
      </c>
      <c r="E45" s="126"/>
      <c r="F45" s="412"/>
      <c r="G45" s="421"/>
      <c r="H45" s="405"/>
      <c r="I45" s="399"/>
    </row>
    <row r="46" spans="1:10" ht="26">
      <c r="A46" s="475"/>
      <c r="B46" s="412"/>
      <c r="C46" s="20" t="s">
        <v>24</v>
      </c>
      <c r="D46" s="102" t="s">
        <v>355</v>
      </c>
      <c r="E46" s="126"/>
      <c r="F46" s="412"/>
      <c r="G46" s="421"/>
      <c r="H46" s="405"/>
      <c r="I46" s="399"/>
    </row>
    <row r="47" spans="1:10" ht="26">
      <c r="A47" s="476"/>
      <c r="B47" s="413"/>
      <c r="C47" s="24" t="s">
        <v>36</v>
      </c>
      <c r="D47" s="144" t="s">
        <v>356</v>
      </c>
      <c r="E47" s="131"/>
      <c r="F47" s="413"/>
      <c r="G47" s="422"/>
      <c r="H47" s="404"/>
      <c r="I47" s="395"/>
    </row>
    <row r="48" spans="1:10" ht="15" customHeight="1">
      <c r="A48" s="287" t="s">
        <v>3</v>
      </c>
      <c r="B48" s="288"/>
      <c r="C48" s="288"/>
      <c r="D48" s="288"/>
      <c r="E48" s="288"/>
      <c r="F48" s="288"/>
      <c r="G48" s="288"/>
      <c r="H48" s="288"/>
      <c r="I48" s="289"/>
    </row>
    <row r="49" spans="1:10">
      <c r="A49" s="290"/>
      <c r="B49" s="291"/>
      <c r="C49" s="291"/>
      <c r="D49" s="291"/>
      <c r="E49" s="291"/>
      <c r="F49" s="291"/>
      <c r="G49" s="291"/>
      <c r="H49" s="291"/>
      <c r="I49" s="292"/>
    </row>
    <row r="50" spans="1:10" ht="90" customHeight="1">
      <c r="A50" s="477" t="s">
        <v>357</v>
      </c>
      <c r="B50" s="424" t="s">
        <v>11</v>
      </c>
      <c r="C50" s="461" t="s">
        <v>358</v>
      </c>
      <c r="D50" s="459" t="s">
        <v>359</v>
      </c>
      <c r="E50" s="457"/>
      <c r="F50" s="424" t="s">
        <v>11</v>
      </c>
      <c r="G50" s="19" t="s">
        <v>15</v>
      </c>
      <c r="H50" s="197" t="s">
        <v>360</v>
      </c>
      <c r="I50" s="396"/>
      <c r="J50" s="205"/>
    </row>
    <row r="51" spans="1:10" ht="15.75" customHeight="1">
      <c r="A51" s="478"/>
      <c r="B51" s="425"/>
      <c r="C51" s="462"/>
      <c r="D51" s="460"/>
      <c r="E51" s="458"/>
      <c r="F51" s="425"/>
      <c r="G51" s="20" t="s">
        <v>19</v>
      </c>
      <c r="H51" s="186" t="s">
        <v>311</v>
      </c>
      <c r="I51" s="397"/>
      <c r="J51" s="205"/>
    </row>
    <row r="52" spans="1:10" ht="26">
      <c r="A52" s="478"/>
      <c r="B52" s="426"/>
      <c r="C52" s="463"/>
      <c r="D52" s="454"/>
      <c r="E52" s="456"/>
      <c r="F52" s="426"/>
      <c r="G52" s="20" t="s">
        <v>24</v>
      </c>
      <c r="H52" s="186" t="s">
        <v>312</v>
      </c>
      <c r="I52" s="398"/>
      <c r="J52" s="205"/>
    </row>
    <row r="53" spans="1:10" ht="60" customHeight="1">
      <c r="A53" s="478"/>
      <c r="B53" s="427" t="s">
        <v>14</v>
      </c>
      <c r="C53" s="464" t="s">
        <v>358</v>
      </c>
      <c r="D53" s="453" t="s">
        <v>361</v>
      </c>
      <c r="E53" s="455"/>
      <c r="F53" s="427" t="s">
        <v>14</v>
      </c>
      <c r="G53" s="20" t="s">
        <v>15</v>
      </c>
      <c r="H53" s="186" t="s">
        <v>360</v>
      </c>
      <c r="I53" s="394"/>
      <c r="J53" s="205"/>
    </row>
    <row r="54" spans="1:10" ht="15.75" customHeight="1">
      <c r="A54" s="478"/>
      <c r="B54" s="428"/>
      <c r="C54" s="462"/>
      <c r="D54" s="460"/>
      <c r="E54" s="458"/>
      <c r="F54" s="428"/>
      <c r="G54" s="20" t="s">
        <v>19</v>
      </c>
      <c r="H54" s="186" t="s">
        <v>311</v>
      </c>
      <c r="I54" s="397"/>
      <c r="J54" s="205"/>
    </row>
    <row r="55" spans="1:10" ht="15.75" customHeight="1">
      <c r="A55" s="478"/>
      <c r="B55" s="429"/>
      <c r="C55" s="463"/>
      <c r="D55" s="454"/>
      <c r="E55" s="456"/>
      <c r="F55" s="429"/>
      <c r="G55" s="20" t="s">
        <v>24</v>
      </c>
      <c r="H55" s="186" t="s">
        <v>316</v>
      </c>
      <c r="I55" s="398"/>
      <c r="J55" s="205"/>
    </row>
    <row r="56" spans="1:10" ht="60" customHeight="1">
      <c r="A56" s="478"/>
      <c r="B56" s="430" t="s">
        <v>17</v>
      </c>
      <c r="C56" s="464" t="s">
        <v>358</v>
      </c>
      <c r="D56" s="453" t="s">
        <v>362</v>
      </c>
      <c r="E56" s="455"/>
      <c r="F56" s="430" t="s">
        <v>17</v>
      </c>
      <c r="G56" s="20" t="s">
        <v>15</v>
      </c>
      <c r="H56" s="186" t="s">
        <v>363</v>
      </c>
      <c r="I56" s="394"/>
      <c r="J56" s="205"/>
    </row>
    <row r="57" spans="1:10" ht="15.75" customHeight="1">
      <c r="A57" s="478"/>
      <c r="B57" s="431"/>
      <c r="C57" s="462"/>
      <c r="D57" s="460"/>
      <c r="E57" s="458"/>
      <c r="F57" s="431"/>
      <c r="G57" s="20" t="s">
        <v>19</v>
      </c>
      <c r="H57" s="186" t="s">
        <v>311</v>
      </c>
      <c r="I57" s="397"/>
      <c r="J57" s="205"/>
    </row>
    <row r="58" spans="1:10" ht="15.75" customHeight="1">
      <c r="A58" s="478"/>
      <c r="B58" s="432"/>
      <c r="C58" s="463"/>
      <c r="D58" s="454"/>
      <c r="E58" s="456"/>
      <c r="F58" s="432"/>
      <c r="G58" s="20" t="s">
        <v>24</v>
      </c>
      <c r="H58" s="186" t="s">
        <v>323</v>
      </c>
      <c r="I58" s="398"/>
      <c r="J58" s="205"/>
    </row>
    <row r="59" spans="1:10" ht="72" customHeight="1">
      <c r="A59" s="478"/>
      <c r="B59" s="22" t="s">
        <v>22</v>
      </c>
      <c r="C59" s="198" t="s">
        <v>358</v>
      </c>
      <c r="D59" s="102" t="s">
        <v>364</v>
      </c>
      <c r="E59" s="126"/>
      <c r="F59" s="22" t="s">
        <v>22</v>
      </c>
      <c r="G59" s="20" t="s">
        <v>15</v>
      </c>
      <c r="H59" s="186" t="s">
        <v>326</v>
      </c>
      <c r="I59" s="176"/>
      <c r="J59" s="205"/>
    </row>
    <row r="60" spans="1:10" ht="75" customHeight="1">
      <c r="A60" s="479"/>
      <c r="B60" s="23" t="s">
        <v>26</v>
      </c>
      <c r="C60" s="199" t="s">
        <v>358</v>
      </c>
      <c r="D60" s="144" t="s">
        <v>365</v>
      </c>
      <c r="E60" s="131"/>
      <c r="F60" s="23" t="s">
        <v>26</v>
      </c>
      <c r="G60" s="24" t="s">
        <v>15</v>
      </c>
      <c r="H60" s="200" t="s">
        <v>331</v>
      </c>
      <c r="I60" s="177"/>
      <c r="J60" s="205"/>
    </row>
    <row r="61" spans="1:10" ht="15" customHeight="1">
      <c r="A61" s="287" t="s">
        <v>3</v>
      </c>
      <c r="B61" s="288"/>
      <c r="C61" s="288"/>
      <c r="D61" s="288"/>
      <c r="E61" s="288"/>
      <c r="F61" s="288"/>
      <c r="G61" s="288"/>
      <c r="H61" s="288"/>
      <c r="I61" s="289"/>
    </row>
    <row r="62" spans="1:10">
      <c r="A62" s="290"/>
      <c r="B62" s="291"/>
      <c r="C62" s="291"/>
      <c r="D62" s="291"/>
      <c r="E62" s="291"/>
      <c r="F62" s="291"/>
      <c r="G62" s="291"/>
      <c r="H62" s="291"/>
      <c r="I62" s="292"/>
    </row>
    <row r="63" spans="1:10" ht="105" customHeight="1">
      <c r="A63" s="477" t="s">
        <v>366</v>
      </c>
      <c r="B63" s="424" t="s">
        <v>11</v>
      </c>
      <c r="C63" s="19" t="s">
        <v>15</v>
      </c>
      <c r="D63" s="142" t="s">
        <v>367</v>
      </c>
      <c r="E63" s="133"/>
      <c r="F63" s="424" t="s">
        <v>11</v>
      </c>
      <c r="G63" s="19" t="s">
        <v>15</v>
      </c>
      <c r="H63" s="197" t="s">
        <v>368</v>
      </c>
      <c r="I63" s="396"/>
      <c r="J63" s="205"/>
    </row>
    <row r="64" spans="1:10" ht="30" customHeight="1">
      <c r="A64" s="478"/>
      <c r="B64" s="425"/>
      <c r="C64" s="414" t="s">
        <v>19</v>
      </c>
      <c r="D64" s="453" t="s">
        <v>369</v>
      </c>
      <c r="E64" s="455"/>
      <c r="F64" s="425"/>
      <c r="G64" s="20" t="s">
        <v>19</v>
      </c>
      <c r="H64" s="186" t="s">
        <v>311</v>
      </c>
      <c r="I64" s="397"/>
      <c r="J64" s="205"/>
    </row>
    <row r="65" spans="1:12" ht="15.75" customHeight="1">
      <c r="A65" s="478"/>
      <c r="B65" s="426"/>
      <c r="C65" s="415"/>
      <c r="D65" s="454"/>
      <c r="E65" s="456"/>
      <c r="F65" s="426"/>
      <c r="G65" s="20" t="s">
        <v>24</v>
      </c>
      <c r="H65" s="186" t="s">
        <v>370</v>
      </c>
      <c r="I65" s="398"/>
      <c r="J65" s="205"/>
    </row>
    <row r="66" spans="1:12" ht="39">
      <c r="A66" s="478"/>
      <c r="B66" s="427" t="s">
        <v>14</v>
      </c>
      <c r="C66" s="20" t="s">
        <v>15</v>
      </c>
      <c r="D66" s="102" t="s">
        <v>371</v>
      </c>
      <c r="E66" s="126"/>
      <c r="F66" s="427" t="s">
        <v>14</v>
      </c>
      <c r="G66" s="20" t="s">
        <v>15</v>
      </c>
      <c r="H66" s="186" t="s">
        <v>372</v>
      </c>
      <c r="I66" s="394"/>
      <c r="J66" s="205"/>
    </row>
    <row r="67" spans="1:12" ht="30" customHeight="1">
      <c r="A67" s="478"/>
      <c r="B67" s="428"/>
      <c r="C67" s="414" t="s">
        <v>19</v>
      </c>
      <c r="D67" s="453" t="s">
        <v>373</v>
      </c>
      <c r="E67" s="455"/>
      <c r="F67" s="428"/>
      <c r="G67" s="20" t="s">
        <v>19</v>
      </c>
      <c r="H67" s="186" t="s">
        <v>311</v>
      </c>
      <c r="I67" s="397"/>
      <c r="J67" s="205"/>
    </row>
    <row r="68" spans="1:12" ht="15.75" customHeight="1">
      <c r="A68" s="478"/>
      <c r="B68" s="429"/>
      <c r="C68" s="415"/>
      <c r="D68" s="454"/>
      <c r="E68" s="456"/>
      <c r="F68" s="429"/>
      <c r="G68" s="20" t="s">
        <v>24</v>
      </c>
      <c r="H68" s="186" t="s">
        <v>316</v>
      </c>
      <c r="I68" s="398"/>
      <c r="J68" s="210"/>
      <c r="K68" s="211"/>
    </row>
    <row r="69" spans="1:12" ht="39">
      <c r="A69" s="478"/>
      <c r="B69" s="430" t="s">
        <v>17</v>
      </c>
      <c r="C69" s="20" t="s">
        <v>15</v>
      </c>
      <c r="D69" s="102" t="s">
        <v>374</v>
      </c>
      <c r="E69" s="126"/>
      <c r="F69" s="430" t="s">
        <v>17</v>
      </c>
      <c r="G69" s="20" t="s">
        <v>15</v>
      </c>
      <c r="H69" s="186" t="s">
        <v>375</v>
      </c>
      <c r="I69" s="394"/>
      <c r="J69" s="210"/>
      <c r="K69" s="211"/>
    </row>
    <row r="70" spans="1:12" ht="30" customHeight="1">
      <c r="A70" s="478"/>
      <c r="B70" s="431"/>
      <c r="C70" s="414" t="s">
        <v>19</v>
      </c>
      <c r="D70" s="453" t="s">
        <v>376</v>
      </c>
      <c r="E70" s="455"/>
      <c r="F70" s="431"/>
      <c r="G70" s="20" t="s">
        <v>19</v>
      </c>
      <c r="H70" s="186" t="s">
        <v>311</v>
      </c>
      <c r="I70" s="397"/>
      <c r="J70" s="210"/>
      <c r="K70" s="211"/>
    </row>
    <row r="71" spans="1:12" ht="15.75" customHeight="1">
      <c r="A71" s="478"/>
      <c r="B71" s="432"/>
      <c r="C71" s="415"/>
      <c r="D71" s="454"/>
      <c r="E71" s="456"/>
      <c r="F71" s="432"/>
      <c r="G71" s="20" t="s">
        <v>24</v>
      </c>
      <c r="H71" s="186" t="s">
        <v>370</v>
      </c>
      <c r="I71" s="398"/>
      <c r="J71" s="210"/>
      <c r="K71" s="211"/>
    </row>
    <row r="72" spans="1:12" ht="78">
      <c r="A72" s="478"/>
      <c r="B72" s="433" t="s">
        <v>22</v>
      </c>
      <c r="C72" s="20" t="s">
        <v>15</v>
      </c>
      <c r="D72" s="102" t="s">
        <v>377</v>
      </c>
      <c r="E72" s="126"/>
      <c r="F72" s="433" t="s">
        <v>22</v>
      </c>
      <c r="G72" s="20" t="s">
        <v>15</v>
      </c>
      <c r="H72" s="186" t="s">
        <v>378</v>
      </c>
      <c r="I72" s="394"/>
      <c r="J72" s="210"/>
      <c r="K72" s="211"/>
    </row>
    <row r="73" spans="1:12" ht="30" customHeight="1">
      <c r="A73" s="478"/>
      <c r="B73" s="434"/>
      <c r="C73" s="414" t="s">
        <v>19</v>
      </c>
      <c r="D73" s="453" t="s">
        <v>379</v>
      </c>
      <c r="E73" s="455"/>
      <c r="F73" s="434"/>
      <c r="G73" s="20" t="s">
        <v>19</v>
      </c>
      <c r="H73" s="186" t="s">
        <v>380</v>
      </c>
      <c r="I73" s="397"/>
      <c r="J73" s="210"/>
      <c r="K73" s="211"/>
    </row>
    <row r="74" spans="1:12" ht="15.75" customHeight="1">
      <c r="A74" s="478"/>
      <c r="B74" s="435"/>
      <c r="C74" s="415"/>
      <c r="D74" s="454"/>
      <c r="E74" s="456"/>
      <c r="F74" s="435"/>
      <c r="G74" s="20" t="s">
        <v>24</v>
      </c>
      <c r="H74" s="186" t="s">
        <v>381</v>
      </c>
      <c r="I74" s="398"/>
      <c r="J74" s="210"/>
      <c r="K74" s="211"/>
    </row>
    <row r="75" spans="1:12" ht="26">
      <c r="A75" s="478"/>
      <c r="B75" s="411" t="s">
        <v>26</v>
      </c>
      <c r="C75" s="20" t="s">
        <v>15</v>
      </c>
      <c r="D75" s="206" t="s">
        <v>382</v>
      </c>
      <c r="E75" s="207"/>
      <c r="F75" s="411" t="s">
        <v>26</v>
      </c>
      <c r="G75" s="414" t="s">
        <v>15</v>
      </c>
      <c r="H75" s="403" t="s">
        <v>331</v>
      </c>
      <c r="I75" s="394"/>
      <c r="J75" s="210"/>
      <c r="K75" s="211"/>
    </row>
    <row r="76" spans="1:12" ht="46.5" customHeight="1">
      <c r="A76" s="479"/>
      <c r="B76" s="413"/>
      <c r="C76" s="24" t="s">
        <v>19</v>
      </c>
      <c r="D76" s="208" t="s">
        <v>383</v>
      </c>
      <c r="E76" s="209"/>
      <c r="F76" s="413"/>
      <c r="G76" s="423"/>
      <c r="H76" s="404"/>
      <c r="I76" s="395"/>
      <c r="J76" s="212"/>
      <c r="K76" s="211"/>
    </row>
    <row r="77" spans="1:12" ht="15" customHeight="1">
      <c r="A77" s="287" t="s">
        <v>3</v>
      </c>
      <c r="B77" s="288"/>
      <c r="C77" s="288"/>
      <c r="D77" s="288"/>
      <c r="E77" s="288"/>
      <c r="F77" s="288"/>
      <c r="G77" s="288"/>
      <c r="H77" s="288"/>
      <c r="I77" s="289"/>
      <c r="J77" s="212"/>
      <c r="K77" s="211"/>
    </row>
    <row r="78" spans="1:12">
      <c r="A78" s="290"/>
      <c r="B78" s="291"/>
      <c r="C78" s="291"/>
      <c r="D78" s="291"/>
      <c r="E78" s="291"/>
      <c r="F78" s="291"/>
      <c r="G78" s="291"/>
      <c r="H78" s="291"/>
      <c r="I78" s="292"/>
      <c r="J78" s="212"/>
      <c r="K78" s="211"/>
    </row>
    <row r="79" spans="1:12" ht="91">
      <c r="A79" s="477" t="s">
        <v>384</v>
      </c>
      <c r="B79" s="424" t="s">
        <v>11</v>
      </c>
      <c r="C79" s="19" t="s">
        <v>15</v>
      </c>
      <c r="D79" s="142" t="s">
        <v>385</v>
      </c>
      <c r="E79" s="133"/>
      <c r="F79" s="424" t="s">
        <v>11</v>
      </c>
      <c r="G79" s="19" t="s">
        <v>15</v>
      </c>
      <c r="H79" s="197" t="s">
        <v>386</v>
      </c>
      <c r="I79" s="396"/>
      <c r="J79" s="212"/>
      <c r="K79" s="213"/>
      <c r="L79" s="156"/>
    </row>
    <row r="80" spans="1:12" ht="30" customHeight="1">
      <c r="A80" s="478"/>
      <c r="B80" s="425"/>
      <c r="C80" s="414" t="s">
        <v>19</v>
      </c>
      <c r="D80" s="453" t="s">
        <v>387</v>
      </c>
      <c r="E80" s="455"/>
      <c r="F80" s="425"/>
      <c r="G80" s="20" t="s">
        <v>19</v>
      </c>
      <c r="H80" s="186" t="s">
        <v>311</v>
      </c>
      <c r="I80" s="397"/>
      <c r="J80" s="212"/>
      <c r="K80" s="211"/>
      <c r="L80" s="214"/>
    </row>
    <row r="81" spans="1:12" ht="15.75" customHeight="1">
      <c r="A81" s="478"/>
      <c r="B81" s="426"/>
      <c r="C81" s="415"/>
      <c r="D81" s="454"/>
      <c r="E81" s="456"/>
      <c r="F81" s="426"/>
      <c r="G81" s="20" t="s">
        <v>24</v>
      </c>
      <c r="H81" s="186" t="s">
        <v>370</v>
      </c>
      <c r="I81" s="398"/>
      <c r="J81" s="212"/>
      <c r="K81" s="211"/>
    </row>
    <row r="82" spans="1:12" ht="39">
      <c r="A82" s="478"/>
      <c r="B82" s="427" t="s">
        <v>14</v>
      </c>
      <c r="C82" s="20" t="s">
        <v>15</v>
      </c>
      <c r="D82" s="102" t="s">
        <v>388</v>
      </c>
      <c r="E82" s="126"/>
      <c r="F82" s="427" t="s">
        <v>14</v>
      </c>
      <c r="G82" s="20" t="s">
        <v>15</v>
      </c>
      <c r="H82" s="186" t="s">
        <v>389</v>
      </c>
      <c r="I82" s="394"/>
      <c r="J82" s="158"/>
      <c r="K82" s="211"/>
    </row>
    <row r="83" spans="1:12" ht="30" customHeight="1">
      <c r="A83" s="478"/>
      <c r="B83" s="428"/>
      <c r="C83" s="419" t="s">
        <v>19</v>
      </c>
      <c r="D83" s="453" t="s">
        <v>390</v>
      </c>
      <c r="E83" s="455"/>
      <c r="F83" s="428"/>
      <c r="G83" s="20" t="s">
        <v>19</v>
      </c>
      <c r="H83" s="186" t="s">
        <v>311</v>
      </c>
      <c r="I83" s="397"/>
      <c r="J83" s="158"/>
      <c r="K83" s="211"/>
    </row>
    <row r="84" spans="1:12" ht="15.75" customHeight="1">
      <c r="A84" s="478"/>
      <c r="B84" s="429"/>
      <c r="C84" s="420"/>
      <c r="D84" s="454"/>
      <c r="E84" s="456"/>
      <c r="F84" s="429"/>
      <c r="G84" s="20" t="s">
        <v>24</v>
      </c>
      <c r="H84" s="186" t="s">
        <v>316</v>
      </c>
      <c r="I84" s="398"/>
      <c r="J84" s="158"/>
      <c r="K84" s="211"/>
    </row>
    <row r="85" spans="1:12" ht="39">
      <c r="A85" s="478"/>
      <c r="B85" s="430" t="s">
        <v>17</v>
      </c>
      <c r="C85" s="20" t="s">
        <v>15</v>
      </c>
      <c r="D85" s="102" t="s">
        <v>391</v>
      </c>
      <c r="E85" s="126"/>
      <c r="F85" s="430" t="s">
        <v>17</v>
      </c>
      <c r="G85" s="20" t="s">
        <v>15</v>
      </c>
      <c r="H85" s="186" t="s">
        <v>392</v>
      </c>
      <c r="I85" s="394"/>
      <c r="J85" s="158"/>
      <c r="K85" s="211"/>
    </row>
    <row r="86" spans="1:12" ht="30" customHeight="1">
      <c r="A86" s="478"/>
      <c r="B86" s="431"/>
      <c r="C86" s="414" t="s">
        <v>19</v>
      </c>
      <c r="D86" s="453" t="s">
        <v>393</v>
      </c>
      <c r="E86" s="455"/>
      <c r="F86" s="431"/>
      <c r="G86" s="20" t="s">
        <v>19</v>
      </c>
      <c r="H86" s="186" t="s">
        <v>394</v>
      </c>
      <c r="I86" s="397"/>
      <c r="J86" s="158"/>
      <c r="K86" s="211"/>
    </row>
    <row r="87" spans="1:12" ht="15.75" customHeight="1">
      <c r="A87" s="478"/>
      <c r="B87" s="432"/>
      <c r="C87" s="415"/>
      <c r="D87" s="454"/>
      <c r="E87" s="456"/>
      <c r="F87" s="432"/>
      <c r="G87" s="20" t="s">
        <v>24</v>
      </c>
      <c r="H87" s="186" t="s">
        <v>395</v>
      </c>
      <c r="I87" s="398"/>
      <c r="J87" s="158"/>
      <c r="K87" s="211"/>
    </row>
    <row r="88" spans="1:12" ht="91">
      <c r="A88" s="478"/>
      <c r="B88" s="433" t="s">
        <v>22</v>
      </c>
      <c r="C88" s="20" t="s">
        <v>15</v>
      </c>
      <c r="D88" s="102" t="s">
        <v>396</v>
      </c>
      <c r="E88" s="126"/>
      <c r="F88" s="433" t="s">
        <v>22</v>
      </c>
      <c r="G88" s="20" t="s">
        <v>15</v>
      </c>
      <c r="H88" s="186" t="s">
        <v>397</v>
      </c>
      <c r="I88" s="394"/>
      <c r="J88" s="158"/>
      <c r="K88" s="211"/>
    </row>
    <row r="89" spans="1:12" ht="30" customHeight="1">
      <c r="A89" s="478"/>
      <c r="B89" s="434"/>
      <c r="C89" s="414" t="s">
        <v>19</v>
      </c>
      <c r="D89" s="453" t="s">
        <v>398</v>
      </c>
      <c r="E89" s="455"/>
      <c r="F89" s="434"/>
      <c r="G89" s="20" t="s">
        <v>19</v>
      </c>
      <c r="H89" s="186" t="s">
        <v>399</v>
      </c>
      <c r="I89" s="397"/>
      <c r="J89" s="158"/>
      <c r="K89" s="211"/>
    </row>
    <row r="90" spans="1:12" ht="15.75" customHeight="1">
      <c r="A90" s="478"/>
      <c r="B90" s="435"/>
      <c r="C90" s="415"/>
      <c r="D90" s="454"/>
      <c r="E90" s="456"/>
      <c r="F90" s="435"/>
      <c r="G90" s="20" t="s">
        <v>24</v>
      </c>
      <c r="H90" s="186" t="s">
        <v>400</v>
      </c>
      <c r="I90" s="398"/>
      <c r="J90" s="212"/>
      <c r="K90" s="211"/>
    </row>
    <row r="91" spans="1:12" ht="26">
      <c r="A91" s="478"/>
      <c r="B91" s="436" t="s">
        <v>26</v>
      </c>
      <c r="C91" s="20" t="s">
        <v>15</v>
      </c>
      <c r="D91" s="102" t="s">
        <v>401</v>
      </c>
      <c r="E91" s="126"/>
      <c r="F91" s="436" t="s">
        <v>26</v>
      </c>
      <c r="G91" s="414" t="s">
        <v>15</v>
      </c>
      <c r="H91" s="403" t="s">
        <v>331</v>
      </c>
      <c r="I91" s="394"/>
      <c r="J91" s="212"/>
      <c r="K91" s="211"/>
    </row>
    <row r="92" spans="1:12" ht="45" customHeight="1">
      <c r="A92" s="479"/>
      <c r="B92" s="437"/>
      <c r="C92" s="24" t="s">
        <v>19</v>
      </c>
      <c r="D92" s="144" t="s">
        <v>402</v>
      </c>
      <c r="E92" s="131"/>
      <c r="F92" s="437"/>
      <c r="G92" s="423"/>
      <c r="H92" s="404"/>
      <c r="I92" s="395"/>
    </row>
    <row r="93" spans="1:12" ht="15" customHeight="1">
      <c r="A93" s="287" t="s">
        <v>3</v>
      </c>
      <c r="B93" s="288"/>
      <c r="C93" s="288"/>
      <c r="D93" s="288"/>
      <c r="E93" s="288"/>
      <c r="F93" s="288"/>
      <c r="G93" s="288"/>
      <c r="H93" s="288"/>
      <c r="I93" s="289"/>
    </row>
    <row r="94" spans="1:12" ht="27.75" customHeight="1">
      <c r="A94" s="290"/>
      <c r="B94" s="291"/>
      <c r="C94" s="291"/>
      <c r="D94" s="291"/>
      <c r="E94" s="291"/>
      <c r="F94" s="291"/>
      <c r="G94" s="291"/>
      <c r="H94" s="291"/>
      <c r="I94" s="292"/>
    </row>
    <row r="95" spans="1:12" ht="60" customHeight="1">
      <c r="A95" s="477" t="s">
        <v>403</v>
      </c>
      <c r="B95" s="438" t="s">
        <v>11</v>
      </c>
      <c r="C95" s="19" t="s">
        <v>15</v>
      </c>
      <c r="D95" s="142" t="s">
        <v>404</v>
      </c>
      <c r="E95" s="133"/>
      <c r="F95" s="438" t="s">
        <v>11</v>
      </c>
      <c r="G95" s="19" t="s">
        <v>15</v>
      </c>
      <c r="H95" s="197" t="s">
        <v>405</v>
      </c>
      <c r="I95" s="396"/>
      <c r="J95" s="158"/>
      <c r="K95" s="211"/>
    </row>
    <row r="96" spans="1:12" ht="15.75" customHeight="1">
      <c r="A96" s="478"/>
      <c r="B96" s="439"/>
      <c r="C96" s="414" t="s">
        <v>19</v>
      </c>
      <c r="D96" s="453" t="s">
        <v>406</v>
      </c>
      <c r="E96" s="455"/>
      <c r="F96" s="439"/>
      <c r="G96" s="20" t="s">
        <v>19</v>
      </c>
      <c r="H96" s="186" t="s">
        <v>311</v>
      </c>
      <c r="I96" s="397"/>
      <c r="J96" s="158"/>
      <c r="K96" s="211"/>
      <c r="L96" s="156"/>
    </row>
    <row r="97" spans="1:12" ht="15.75" customHeight="1">
      <c r="A97" s="478"/>
      <c r="B97" s="440"/>
      <c r="C97" s="415"/>
      <c r="D97" s="454"/>
      <c r="E97" s="456"/>
      <c r="F97" s="440"/>
      <c r="G97" s="20" t="s">
        <v>24</v>
      </c>
      <c r="H97" s="186" t="s">
        <v>370</v>
      </c>
      <c r="I97" s="398"/>
      <c r="J97" s="158"/>
      <c r="K97" s="211"/>
      <c r="L97" s="156"/>
    </row>
    <row r="98" spans="1:12" ht="26">
      <c r="A98" s="478"/>
      <c r="B98" s="441" t="s">
        <v>14</v>
      </c>
      <c r="C98" s="20" t="s">
        <v>15</v>
      </c>
      <c r="D98" s="102" t="s">
        <v>407</v>
      </c>
      <c r="E98" s="126"/>
      <c r="F98" s="441" t="s">
        <v>14</v>
      </c>
      <c r="G98" s="20" t="s">
        <v>15</v>
      </c>
      <c r="H98" s="186" t="s">
        <v>408</v>
      </c>
      <c r="I98" s="394"/>
      <c r="J98" s="158"/>
      <c r="K98" s="211"/>
    </row>
    <row r="99" spans="1:12" ht="26">
      <c r="A99" s="478"/>
      <c r="B99" s="442"/>
      <c r="C99" s="20" t="s">
        <v>19</v>
      </c>
      <c r="D99" s="102" t="s">
        <v>409</v>
      </c>
      <c r="E99" s="126"/>
      <c r="F99" s="442"/>
      <c r="G99" s="20" t="s">
        <v>19</v>
      </c>
      <c r="H99" s="186" t="s">
        <v>311</v>
      </c>
      <c r="I99" s="397"/>
      <c r="J99" s="158"/>
      <c r="K99" s="211"/>
    </row>
    <row r="100" spans="1:12" ht="26">
      <c r="A100" s="478"/>
      <c r="B100" s="443"/>
      <c r="C100" s="20" t="s">
        <v>24</v>
      </c>
      <c r="D100" s="102" t="s">
        <v>410</v>
      </c>
      <c r="E100" s="126"/>
      <c r="F100" s="443"/>
      <c r="G100" s="20" t="s">
        <v>24</v>
      </c>
      <c r="H100" s="186" t="s">
        <v>316</v>
      </c>
      <c r="I100" s="398"/>
      <c r="J100" s="212"/>
      <c r="K100" s="211"/>
    </row>
    <row r="101" spans="1:12" ht="26">
      <c r="A101" s="478"/>
      <c r="B101" s="444" t="s">
        <v>17</v>
      </c>
      <c r="C101" s="20" t="s">
        <v>15</v>
      </c>
      <c r="D101" s="102" t="s">
        <v>411</v>
      </c>
      <c r="E101" s="126"/>
      <c r="F101" s="444" t="s">
        <v>17</v>
      </c>
      <c r="G101" s="20" t="s">
        <v>15</v>
      </c>
      <c r="H101" s="186" t="s">
        <v>412</v>
      </c>
      <c r="I101" s="394"/>
      <c r="J101" s="212"/>
      <c r="K101" s="211"/>
    </row>
    <row r="102" spans="1:12" ht="26">
      <c r="A102" s="478"/>
      <c r="B102" s="445"/>
      <c r="C102" s="20" t="s">
        <v>19</v>
      </c>
      <c r="D102" s="102" t="s">
        <v>413</v>
      </c>
      <c r="E102" s="126"/>
      <c r="F102" s="445"/>
      <c r="G102" s="20" t="s">
        <v>19</v>
      </c>
      <c r="H102" s="186" t="s">
        <v>311</v>
      </c>
      <c r="I102" s="397"/>
      <c r="J102" s="212"/>
      <c r="K102" s="211"/>
    </row>
    <row r="103" spans="1:12" ht="26">
      <c r="A103" s="478"/>
      <c r="B103" s="446"/>
      <c r="C103" s="20" t="s">
        <v>24</v>
      </c>
      <c r="D103" s="102" t="s">
        <v>414</v>
      </c>
      <c r="E103" s="126"/>
      <c r="F103" s="446"/>
      <c r="G103" s="20" t="s">
        <v>24</v>
      </c>
      <c r="H103" s="186" t="s">
        <v>370</v>
      </c>
      <c r="I103" s="398"/>
    </row>
    <row r="104" spans="1:12" ht="39">
      <c r="A104" s="478"/>
      <c r="B104" s="447" t="s">
        <v>22</v>
      </c>
      <c r="C104" s="20" t="s">
        <v>15</v>
      </c>
      <c r="D104" s="102" t="s">
        <v>415</v>
      </c>
      <c r="E104" s="126"/>
      <c r="F104" s="447" t="s">
        <v>22</v>
      </c>
      <c r="G104" s="20" t="s">
        <v>15</v>
      </c>
      <c r="H104" s="186" t="s">
        <v>405</v>
      </c>
      <c r="I104" s="394"/>
    </row>
    <row r="105" spans="1:12" ht="26">
      <c r="A105" s="478"/>
      <c r="B105" s="448"/>
      <c r="C105" s="20" t="s">
        <v>19</v>
      </c>
      <c r="D105" s="102" t="s">
        <v>416</v>
      </c>
      <c r="E105" s="126"/>
      <c r="F105" s="448"/>
      <c r="G105" s="20" t="s">
        <v>19</v>
      </c>
      <c r="H105" s="186" t="s">
        <v>380</v>
      </c>
      <c r="I105" s="397"/>
    </row>
    <row r="106" spans="1:12" ht="26">
      <c r="A106" s="478"/>
      <c r="B106" s="449"/>
      <c r="C106" s="20" t="s">
        <v>24</v>
      </c>
      <c r="D106" s="102" t="s">
        <v>417</v>
      </c>
      <c r="E106" s="126"/>
      <c r="F106" s="449"/>
      <c r="G106" s="20" t="s">
        <v>24</v>
      </c>
      <c r="H106" s="186" t="s">
        <v>418</v>
      </c>
      <c r="I106" s="398"/>
    </row>
    <row r="107" spans="1:12" ht="26">
      <c r="A107" s="478"/>
      <c r="B107" s="411" t="s">
        <v>26</v>
      </c>
      <c r="C107" s="20" t="s">
        <v>15</v>
      </c>
      <c r="D107" s="102" t="s">
        <v>419</v>
      </c>
      <c r="E107" s="126"/>
      <c r="F107" s="411" t="s">
        <v>26</v>
      </c>
      <c r="G107" s="414" t="s">
        <v>15</v>
      </c>
      <c r="H107" s="403" t="s">
        <v>331</v>
      </c>
      <c r="I107" s="394"/>
    </row>
    <row r="108" spans="1:12" ht="26">
      <c r="A108" s="478"/>
      <c r="B108" s="412"/>
      <c r="C108" s="20" t="s">
        <v>19</v>
      </c>
      <c r="D108" s="102" t="s">
        <v>420</v>
      </c>
      <c r="E108" s="126"/>
      <c r="F108" s="412"/>
      <c r="G108" s="416"/>
      <c r="H108" s="405"/>
      <c r="I108" s="399"/>
    </row>
    <row r="109" spans="1:12" ht="26">
      <c r="A109" s="479"/>
      <c r="B109" s="413"/>
      <c r="C109" s="24" t="s">
        <v>24</v>
      </c>
      <c r="D109" s="144" t="s">
        <v>421</v>
      </c>
      <c r="E109" s="131"/>
      <c r="F109" s="413"/>
      <c r="G109" s="423"/>
      <c r="H109" s="404"/>
      <c r="I109" s="395"/>
    </row>
    <row r="110" spans="1:12">
      <c r="A110" s="287" t="s">
        <v>3</v>
      </c>
      <c r="B110" s="288"/>
      <c r="C110" s="288"/>
      <c r="D110" s="288"/>
      <c r="E110" s="288"/>
      <c r="F110" s="288"/>
      <c r="G110" s="288"/>
      <c r="H110" s="288"/>
      <c r="I110" s="289"/>
    </row>
    <row r="111" spans="1:12" ht="27.75" customHeight="1">
      <c r="A111" s="290"/>
      <c r="B111" s="291"/>
      <c r="C111" s="291"/>
      <c r="D111" s="291"/>
      <c r="E111" s="291"/>
      <c r="F111" s="291"/>
      <c r="G111" s="291"/>
      <c r="H111" s="291"/>
      <c r="I111" s="292"/>
    </row>
  </sheetData>
  <mergeCells count="165">
    <mergeCell ref="D64:D65"/>
    <mergeCell ref="D67:D68"/>
    <mergeCell ref="B40:B43"/>
    <mergeCell ref="B44:B47"/>
    <mergeCell ref="B50:B52"/>
    <mergeCell ref="B53:B55"/>
    <mergeCell ref="B56:B58"/>
    <mergeCell ref="B63:B65"/>
    <mergeCell ref="B66:B68"/>
    <mergeCell ref="D80:D81"/>
    <mergeCell ref="D83:D84"/>
    <mergeCell ref="B82:B84"/>
    <mergeCell ref="B85:B87"/>
    <mergeCell ref="B88:B90"/>
    <mergeCell ref="B91:B92"/>
    <mergeCell ref="B95:B97"/>
    <mergeCell ref="A1:I1"/>
    <mergeCell ref="A6:I6"/>
    <mergeCell ref="C7:D7"/>
    <mergeCell ref="A8:A26"/>
    <mergeCell ref="A29:A47"/>
    <mergeCell ref="A50:A60"/>
    <mergeCell ref="A63:A76"/>
    <mergeCell ref="A79:A92"/>
    <mergeCell ref="A95:A109"/>
    <mergeCell ref="B8:B10"/>
    <mergeCell ref="B11:B14"/>
    <mergeCell ref="B15:B18"/>
    <mergeCell ref="B19:B22"/>
    <mergeCell ref="B23:B26"/>
    <mergeCell ref="B29:B31"/>
    <mergeCell ref="B32:B35"/>
    <mergeCell ref="B36:B39"/>
    <mergeCell ref="B98:B100"/>
    <mergeCell ref="B101:B103"/>
    <mergeCell ref="B104:B106"/>
    <mergeCell ref="B107:B109"/>
    <mergeCell ref="C9:C10"/>
    <mergeCell ref="C30:C31"/>
    <mergeCell ref="C50:C52"/>
    <mergeCell ref="C53:C55"/>
    <mergeCell ref="C56:C58"/>
    <mergeCell ref="C64:C65"/>
    <mergeCell ref="C67:C68"/>
    <mergeCell ref="C70:C71"/>
    <mergeCell ref="C73:C74"/>
    <mergeCell ref="C80:C81"/>
    <mergeCell ref="C83:C84"/>
    <mergeCell ref="C86:C87"/>
    <mergeCell ref="C89:C90"/>
    <mergeCell ref="C96:C97"/>
    <mergeCell ref="B69:B71"/>
    <mergeCell ref="B72:B74"/>
    <mergeCell ref="B75:B76"/>
    <mergeCell ref="B79:B81"/>
    <mergeCell ref="D86:D87"/>
    <mergeCell ref="D89:D90"/>
    <mergeCell ref="D96:D97"/>
    <mergeCell ref="E9:E10"/>
    <mergeCell ref="E30:E31"/>
    <mergeCell ref="E50:E52"/>
    <mergeCell ref="E53:E55"/>
    <mergeCell ref="E56:E58"/>
    <mergeCell ref="E64:E65"/>
    <mergeCell ref="E67:E68"/>
    <mergeCell ref="E70:E71"/>
    <mergeCell ref="E73:E74"/>
    <mergeCell ref="E80:E81"/>
    <mergeCell ref="E83:E84"/>
    <mergeCell ref="E86:E87"/>
    <mergeCell ref="E89:E90"/>
    <mergeCell ref="E96:E97"/>
    <mergeCell ref="D9:D10"/>
    <mergeCell ref="D30:D31"/>
    <mergeCell ref="D50:D52"/>
    <mergeCell ref="D53:D55"/>
    <mergeCell ref="D56:D58"/>
    <mergeCell ref="D70:D71"/>
    <mergeCell ref="D73:D74"/>
    <mergeCell ref="F56:F58"/>
    <mergeCell ref="F63:F65"/>
    <mergeCell ref="F66:F68"/>
    <mergeCell ref="F69:F71"/>
    <mergeCell ref="F72:F74"/>
    <mergeCell ref="F75:F76"/>
    <mergeCell ref="F8:F10"/>
    <mergeCell ref="F11:F14"/>
    <mergeCell ref="F15:F18"/>
    <mergeCell ref="F19:F22"/>
    <mergeCell ref="F23:F26"/>
    <mergeCell ref="F29:F31"/>
    <mergeCell ref="F32:F35"/>
    <mergeCell ref="F36:F39"/>
    <mergeCell ref="F40:F43"/>
    <mergeCell ref="F107:F109"/>
    <mergeCell ref="G13:G14"/>
    <mergeCell ref="G17:G18"/>
    <mergeCell ref="G19:G22"/>
    <mergeCell ref="G23:G26"/>
    <mergeCell ref="G34:G35"/>
    <mergeCell ref="G38:G39"/>
    <mergeCell ref="G40:G43"/>
    <mergeCell ref="G44:G47"/>
    <mergeCell ref="G75:G76"/>
    <mergeCell ref="G91:G92"/>
    <mergeCell ref="G107:G109"/>
    <mergeCell ref="F79:F81"/>
    <mergeCell ref="F82:F84"/>
    <mergeCell ref="F85:F87"/>
    <mergeCell ref="F88:F90"/>
    <mergeCell ref="F91:F92"/>
    <mergeCell ref="F95:F97"/>
    <mergeCell ref="F98:F100"/>
    <mergeCell ref="F101:F103"/>
    <mergeCell ref="F104:F106"/>
    <mergeCell ref="F44:F47"/>
    <mergeCell ref="F50:F52"/>
    <mergeCell ref="F53:F55"/>
    <mergeCell ref="I75:I76"/>
    <mergeCell ref="I79:I81"/>
    <mergeCell ref="I82:I84"/>
    <mergeCell ref="I85:I87"/>
    <mergeCell ref="I88:I90"/>
    <mergeCell ref="H13:H14"/>
    <mergeCell ref="H17:H18"/>
    <mergeCell ref="H19:H22"/>
    <mergeCell ref="H23:H26"/>
    <mergeCell ref="H34:H35"/>
    <mergeCell ref="H38:H39"/>
    <mergeCell ref="H40:H43"/>
    <mergeCell ref="H44:H47"/>
    <mergeCell ref="H75:H76"/>
    <mergeCell ref="I40:I43"/>
    <mergeCell ref="I44:I47"/>
    <mergeCell ref="I50:I52"/>
    <mergeCell ref="I53:I55"/>
    <mergeCell ref="I56:I58"/>
    <mergeCell ref="I63:I65"/>
    <mergeCell ref="I66:I68"/>
    <mergeCell ref="I69:I71"/>
    <mergeCell ref="I72:I74"/>
    <mergeCell ref="I91:I92"/>
    <mergeCell ref="I95:I97"/>
    <mergeCell ref="I98:I100"/>
    <mergeCell ref="I101:I103"/>
    <mergeCell ref="I104:I106"/>
    <mergeCell ref="I107:I109"/>
    <mergeCell ref="A110:I111"/>
    <mergeCell ref="A2:I3"/>
    <mergeCell ref="A4:I5"/>
    <mergeCell ref="A27:I28"/>
    <mergeCell ref="A48:I49"/>
    <mergeCell ref="A61:I62"/>
    <mergeCell ref="A77:I78"/>
    <mergeCell ref="A93:I94"/>
    <mergeCell ref="H91:H92"/>
    <mergeCell ref="H107:H109"/>
    <mergeCell ref="I8:I10"/>
    <mergeCell ref="I11:I14"/>
    <mergeCell ref="I15:I18"/>
    <mergeCell ref="I19:I22"/>
    <mergeCell ref="I23:I26"/>
    <mergeCell ref="I29:I31"/>
    <mergeCell ref="I32:I35"/>
    <mergeCell ref="I36:I39"/>
  </mergeCells>
  <pageMargins left="0.7" right="0.7" top="0.75" bottom="0.75" header="0.3" footer="0.3"/>
  <pageSetup paperSize="9" scale="31" fitToHeight="0" orientation="portrait" r:id="rId1"/>
  <customProperties>
    <customPr name="EpmWorksheetKeyString_GUID" r:id="rId2"/>
  </customProperties>
  <drawing r:id="rId3"/>
  <legacyDrawing r:id="rId4"/>
  <controls>
    <mc:AlternateContent xmlns:mc="http://schemas.openxmlformats.org/markup-compatibility/2006">
      <mc:Choice Requires="x14">
        <control shapeId="23553" r:id="rId5" name="Opt2_1_1">
          <controlPr defaultSize="0" altText="" r:id="rId6">
            <anchor moveWithCells="1">
              <from>
                <xdr:col>1</xdr:col>
                <xdr:colOff>774700</xdr:colOff>
                <xdr:row>7</xdr:row>
                <xdr:rowOff>304800</xdr:rowOff>
              </from>
              <to>
                <xdr:col>1</xdr:col>
                <xdr:colOff>939800</xdr:colOff>
                <xdr:row>7</xdr:row>
                <xdr:rowOff>488950</xdr:rowOff>
              </to>
            </anchor>
          </controlPr>
        </control>
      </mc:Choice>
      <mc:Fallback>
        <control shapeId="23553" r:id="rId5" name="Opt2_1_1"/>
      </mc:Fallback>
    </mc:AlternateContent>
    <mc:AlternateContent xmlns:mc="http://schemas.openxmlformats.org/markup-compatibility/2006">
      <mc:Choice Requires="x14">
        <control shapeId="23554" r:id="rId7" name="OptionButton1">
          <controlPr defaultSize="0" altText="" r:id="rId8">
            <anchor moveWithCells="1">
              <from>
                <xdr:col>1</xdr:col>
                <xdr:colOff>774700</xdr:colOff>
                <xdr:row>11</xdr:row>
                <xdr:rowOff>0</xdr:rowOff>
              </from>
              <to>
                <xdr:col>1</xdr:col>
                <xdr:colOff>933450</xdr:colOff>
                <xdr:row>11</xdr:row>
                <xdr:rowOff>184150</xdr:rowOff>
              </to>
            </anchor>
          </controlPr>
        </control>
      </mc:Choice>
      <mc:Fallback>
        <control shapeId="23554" r:id="rId7" name="OptionButton1"/>
      </mc:Fallback>
    </mc:AlternateContent>
    <mc:AlternateContent xmlns:mc="http://schemas.openxmlformats.org/markup-compatibility/2006">
      <mc:Choice Requires="x14">
        <control shapeId="23555" r:id="rId9" name="OptionButton2">
          <controlPr defaultSize="0" altText="" r:id="rId6">
            <anchor moveWithCells="1">
              <from>
                <xdr:col>1</xdr:col>
                <xdr:colOff>774700</xdr:colOff>
                <xdr:row>15</xdr:row>
                <xdr:rowOff>0</xdr:rowOff>
              </from>
              <to>
                <xdr:col>1</xdr:col>
                <xdr:colOff>939800</xdr:colOff>
                <xdr:row>15</xdr:row>
                <xdr:rowOff>184150</xdr:rowOff>
              </to>
            </anchor>
          </controlPr>
        </control>
      </mc:Choice>
      <mc:Fallback>
        <control shapeId="23555" r:id="rId9" name="OptionButton2"/>
      </mc:Fallback>
    </mc:AlternateContent>
    <mc:AlternateContent xmlns:mc="http://schemas.openxmlformats.org/markup-compatibility/2006">
      <mc:Choice Requires="x14">
        <control shapeId="23556" r:id="rId10" name="OptionButton3">
          <controlPr defaultSize="0" altText="" r:id="rId6">
            <anchor moveWithCells="1">
              <from>
                <xdr:col>1</xdr:col>
                <xdr:colOff>774700</xdr:colOff>
                <xdr:row>19</xdr:row>
                <xdr:rowOff>0</xdr:rowOff>
              </from>
              <to>
                <xdr:col>1</xdr:col>
                <xdr:colOff>939800</xdr:colOff>
                <xdr:row>19</xdr:row>
                <xdr:rowOff>184150</xdr:rowOff>
              </to>
            </anchor>
          </controlPr>
        </control>
      </mc:Choice>
      <mc:Fallback>
        <control shapeId="23556" r:id="rId10" name="OptionButton3"/>
      </mc:Fallback>
    </mc:AlternateContent>
    <mc:AlternateContent xmlns:mc="http://schemas.openxmlformats.org/markup-compatibility/2006">
      <mc:Choice Requires="x14">
        <control shapeId="23557" r:id="rId11" name="OptionButton4">
          <controlPr defaultSize="0" altText="" r:id="rId6">
            <anchor moveWithCells="1">
              <from>
                <xdr:col>1</xdr:col>
                <xdr:colOff>774700</xdr:colOff>
                <xdr:row>23</xdr:row>
                <xdr:rowOff>0</xdr:rowOff>
              </from>
              <to>
                <xdr:col>1</xdr:col>
                <xdr:colOff>939800</xdr:colOff>
                <xdr:row>23</xdr:row>
                <xdr:rowOff>184150</xdr:rowOff>
              </to>
            </anchor>
          </controlPr>
        </control>
      </mc:Choice>
      <mc:Fallback>
        <control shapeId="23557" r:id="rId11" name="OptionButton4"/>
      </mc:Fallback>
    </mc:AlternateContent>
    <mc:AlternateContent xmlns:mc="http://schemas.openxmlformats.org/markup-compatibility/2006">
      <mc:Choice Requires="x14">
        <control shapeId="23558" r:id="rId12" name="OptionButton5">
          <controlPr defaultSize="0" altText="" r:id="rId6">
            <anchor moveWithCells="1">
              <from>
                <xdr:col>5</xdr:col>
                <xdr:colOff>774700</xdr:colOff>
                <xdr:row>7</xdr:row>
                <xdr:rowOff>304800</xdr:rowOff>
              </from>
              <to>
                <xdr:col>5</xdr:col>
                <xdr:colOff>939800</xdr:colOff>
                <xdr:row>7</xdr:row>
                <xdr:rowOff>488950</xdr:rowOff>
              </to>
            </anchor>
          </controlPr>
        </control>
      </mc:Choice>
      <mc:Fallback>
        <control shapeId="23558" r:id="rId12" name="OptionButton5"/>
      </mc:Fallback>
    </mc:AlternateContent>
    <mc:AlternateContent xmlns:mc="http://schemas.openxmlformats.org/markup-compatibility/2006">
      <mc:Choice Requires="x14">
        <control shapeId="23559" r:id="rId13" name="OptionButton6">
          <controlPr defaultSize="0" altText="" r:id="rId8">
            <anchor moveWithCells="1">
              <from>
                <xdr:col>5</xdr:col>
                <xdr:colOff>781050</xdr:colOff>
                <xdr:row>11</xdr:row>
                <xdr:rowOff>0</xdr:rowOff>
              </from>
              <to>
                <xdr:col>5</xdr:col>
                <xdr:colOff>939800</xdr:colOff>
                <xdr:row>11</xdr:row>
                <xdr:rowOff>184150</xdr:rowOff>
              </to>
            </anchor>
          </controlPr>
        </control>
      </mc:Choice>
      <mc:Fallback>
        <control shapeId="23559" r:id="rId13" name="OptionButton6"/>
      </mc:Fallback>
    </mc:AlternateContent>
    <mc:AlternateContent xmlns:mc="http://schemas.openxmlformats.org/markup-compatibility/2006">
      <mc:Choice Requires="x14">
        <control shapeId="23560" r:id="rId14" name="OptionButton7">
          <controlPr defaultSize="0" altText="" r:id="rId15">
            <anchor moveWithCells="1">
              <from>
                <xdr:col>5</xdr:col>
                <xdr:colOff>762000</xdr:colOff>
                <xdr:row>15</xdr:row>
                <xdr:rowOff>31750</xdr:rowOff>
              </from>
              <to>
                <xdr:col>5</xdr:col>
                <xdr:colOff>920750</xdr:colOff>
                <xdr:row>15</xdr:row>
                <xdr:rowOff>215900</xdr:rowOff>
              </to>
            </anchor>
          </controlPr>
        </control>
      </mc:Choice>
      <mc:Fallback>
        <control shapeId="23560" r:id="rId14" name="OptionButton7"/>
      </mc:Fallback>
    </mc:AlternateContent>
    <mc:AlternateContent xmlns:mc="http://schemas.openxmlformats.org/markup-compatibility/2006">
      <mc:Choice Requires="x14">
        <control shapeId="23561" r:id="rId16" name="OptionButton8">
          <controlPr defaultSize="0" altText="" r:id="rId6">
            <anchor moveWithCells="1">
              <from>
                <xdr:col>5</xdr:col>
                <xdr:colOff>755650</xdr:colOff>
                <xdr:row>19</xdr:row>
                <xdr:rowOff>0</xdr:rowOff>
              </from>
              <to>
                <xdr:col>5</xdr:col>
                <xdr:colOff>920750</xdr:colOff>
                <xdr:row>19</xdr:row>
                <xdr:rowOff>184150</xdr:rowOff>
              </to>
            </anchor>
          </controlPr>
        </control>
      </mc:Choice>
      <mc:Fallback>
        <control shapeId="23561" r:id="rId16" name="OptionButton8"/>
      </mc:Fallback>
    </mc:AlternateContent>
    <mc:AlternateContent xmlns:mc="http://schemas.openxmlformats.org/markup-compatibility/2006">
      <mc:Choice Requires="x14">
        <control shapeId="23562" r:id="rId17" name="OptionButton9">
          <controlPr defaultSize="0" altText="" r:id="rId6">
            <anchor moveWithCells="1">
              <from>
                <xdr:col>5</xdr:col>
                <xdr:colOff>762000</xdr:colOff>
                <xdr:row>23</xdr:row>
                <xdr:rowOff>0</xdr:rowOff>
              </from>
              <to>
                <xdr:col>5</xdr:col>
                <xdr:colOff>927100</xdr:colOff>
                <xdr:row>23</xdr:row>
                <xdr:rowOff>184150</xdr:rowOff>
              </to>
            </anchor>
          </controlPr>
        </control>
      </mc:Choice>
      <mc:Fallback>
        <control shapeId="23562" r:id="rId17" name="OptionButton9"/>
      </mc:Fallback>
    </mc:AlternateContent>
    <mc:AlternateContent xmlns:mc="http://schemas.openxmlformats.org/markup-compatibility/2006">
      <mc:Choice Requires="x14">
        <control shapeId="23563" r:id="rId18" name="OptionButton10">
          <controlPr defaultSize="0" altText="" r:id="rId8">
            <anchor moveWithCells="1">
              <from>
                <xdr:col>1</xdr:col>
                <xdr:colOff>774700</xdr:colOff>
                <xdr:row>28</xdr:row>
                <xdr:rowOff>279400</xdr:rowOff>
              </from>
              <to>
                <xdr:col>1</xdr:col>
                <xdr:colOff>933450</xdr:colOff>
                <xdr:row>29</xdr:row>
                <xdr:rowOff>133350</xdr:rowOff>
              </to>
            </anchor>
          </controlPr>
        </control>
      </mc:Choice>
      <mc:Fallback>
        <control shapeId="23563" r:id="rId18" name="OptionButton10"/>
      </mc:Fallback>
    </mc:AlternateContent>
    <mc:AlternateContent xmlns:mc="http://schemas.openxmlformats.org/markup-compatibility/2006">
      <mc:Choice Requires="x14">
        <control shapeId="23564" r:id="rId19" name="OptionButton11">
          <controlPr defaultSize="0" altText="" r:id="rId15">
            <anchor moveWithCells="1">
              <from>
                <xdr:col>1</xdr:col>
                <xdr:colOff>800100</xdr:colOff>
                <xdr:row>32</xdr:row>
                <xdr:rowOff>0</xdr:rowOff>
              </from>
              <to>
                <xdr:col>1</xdr:col>
                <xdr:colOff>958850</xdr:colOff>
                <xdr:row>32</xdr:row>
                <xdr:rowOff>184150</xdr:rowOff>
              </to>
            </anchor>
          </controlPr>
        </control>
      </mc:Choice>
      <mc:Fallback>
        <control shapeId="23564" r:id="rId19" name="OptionButton11"/>
      </mc:Fallback>
    </mc:AlternateContent>
    <mc:AlternateContent xmlns:mc="http://schemas.openxmlformats.org/markup-compatibility/2006">
      <mc:Choice Requires="x14">
        <control shapeId="23565" r:id="rId20" name="OptionButton12">
          <controlPr defaultSize="0" altText="" r:id="rId6">
            <anchor moveWithCells="1">
              <from>
                <xdr:col>1</xdr:col>
                <xdr:colOff>800100</xdr:colOff>
                <xdr:row>36</xdr:row>
                <xdr:rowOff>0</xdr:rowOff>
              </from>
              <to>
                <xdr:col>1</xdr:col>
                <xdr:colOff>965200</xdr:colOff>
                <xdr:row>36</xdr:row>
                <xdr:rowOff>184150</xdr:rowOff>
              </to>
            </anchor>
          </controlPr>
        </control>
      </mc:Choice>
      <mc:Fallback>
        <control shapeId="23565" r:id="rId20" name="OptionButton12"/>
      </mc:Fallback>
    </mc:AlternateContent>
    <mc:AlternateContent xmlns:mc="http://schemas.openxmlformats.org/markup-compatibility/2006">
      <mc:Choice Requires="x14">
        <control shapeId="23566" r:id="rId21" name="OptionButton13">
          <controlPr defaultSize="0" altText="" r:id="rId6">
            <anchor moveWithCells="1">
              <from>
                <xdr:col>1</xdr:col>
                <xdr:colOff>800100</xdr:colOff>
                <xdr:row>40</xdr:row>
                <xdr:rowOff>0</xdr:rowOff>
              </from>
              <to>
                <xdr:col>1</xdr:col>
                <xdr:colOff>965200</xdr:colOff>
                <xdr:row>40</xdr:row>
                <xdr:rowOff>184150</xdr:rowOff>
              </to>
            </anchor>
          </controlPr>
        </control>
      </mc:Choice>
      <mc:Fallback>
        <control shapeId="23566" r:id="rId21" name="OptionButton13"/>
      </mc:Fallback>
    </mc:AlternateContent>
    <mc:AlternateContent xmlns:mc="http://schemas.openxmlformats.org/markup-compatibility/2006">
      <mc:Choice Requires="x14">
        <control shapeId="23567" r:id="rId22" name="OptionButton14">
          <controlPr defaultSize="0" altText="" r:id="rId6">
            <anchor moveWithCells="1">
              <from>
                <xdr:col>1</xdr:col>
                <xdr:colOff>793750</xdr:colOff>
                <xdr:row>44</xdr:row>
                <xdr:rowOff>95250</xdr:rowOff>
              </from>
              <to>
                <xdr:col>1</xdr:col>
                <xdr:colOff>958850</xdr:colOff>
                <xdr:row>44</xdr:row>
                <xdr:rowOff>279400</xdr:rowOff>
              </to>
            </anchor>
          </controlPr>
        </control>
      </mc:Choice>
      <mc:Fallback>
        <control shapeId="23567" r:id="rId22" name="OptionButton14"/>
      </mc:Fallback>
    </mc:AlternateContent>
    <mc:AlternateContent xmlns:mc="http://schemas.openxmlformats.org/markup-compatibility/2006">
      <mc:Choice Requires="x14">
        <control shapeId="23568" r:id="rId23" name="OptionButton15">
          <controlPr defaultSize="0" altText="" r:id="rId6">
            <anchor moveWithCells="1">
              <from>
                <xdr:col>1</xdr:col>
                <xdr:colOff>781050</xdr:colOff>
                <xdr:row>49</xdr:row>
                <xdr:rowOff>565150</xdr:rowOff>
              </from>
              <to>
                <xdr:col>1</xdr:col>
                <xdr:colOff>946150</xdr:colOff>
                <xdr:row>49</xdr:row>
                <xdr:rowOff>749300</xdr:rowOff>
              </to>
            </anchor>
          </controlPr>
        </control>
      </mc:Choice>
      <mc:Fallback>
        <control shapeId="23568" r:id="rId23" name="OptionButton15"/>
      </mc:Fallback>
    </mc:AlternateContent>
    <mc:AlternateContent xmlns:mc="http://schemas.openxmlformats.org/markup-compatibility/2006">
      <mc:Choice Requires="x14">
        <control shapeId="23569" r:id="rId24" name="OptionButton16">
          <controlPr defaultSize="0" altText="" r:id="rId6">
            <anchor moveWithCells="1">
              <from>
                <xdr:col>1</xdr:col>
                <xdr:colOff>800100</xdr:colOff>
                <xdr:row>52</xdr:row>
                <xdr:rowOff>279400</xdr:rowOff>
              </from>
              <to>
                <xdr:col>1</xdr:col>
                <xdr:colOff>965200</xdr:colOff>
                <xdr:row>52</xdr:row>
                <xdr:rowOff>463550</xdr:rowOff>
              </to>
            </anchor>
          </controlPr>
        </control>
      </mc:Choice>
      <mc:Fallback>
        <control shapeId="23569" r:id="rId24" name="OptionButton16"/>
      </mc:Fallback>
    </mc:AlternateContent>
    <mc:AlternateContent xmlns:mc="http://schemas.openxmlformats.org/markup-compatibility/2006">
      <mc:Choice Requires="x14">
        <control shapeId="23570" r:id="rId25" name="OptionButton17">
          <controlPr defaultSize="0" altText="" r:id="rId6">
            <anchor moveWithCells="1">
              <from>
                <xdr:col>1</xdr:col>
                <xdr:colOff>800100</xdr:colOff>
                <xdr:row>55</xdr:row>
                <xdr:rowOff>279400</xdr:rowOff>
              </from>
              <to>
                <xdr:col>1</xdr:col>
                <xdr:colOff>965200</xdr:colOff>
                <xdr:row>55</xdr:row>
                <xdr:rowOff>463550</xdr:rowOff>
              </to>
            </anchor>
          </controlPr>
        </control>
      </mc:Choice>
      <mc:Fallback>
        <control shapeId="23570" r:id="rId25" name="OptionButton17"/>
      </mc:Fallback>
    </mc:AlternateContent>
    <mc:AlternateContent xmlns:mc="http://schemas.openxmlformats.org/markup-compatibility/2006">
      <mc:Choice Requires="x14">
        <control shapeId="23571" r:id="rId26" name="OptionButton18">
          <controlPr defaultSize="0" altText="" r:id="rId6">
            <anchor moveWithCells="1">
              <from>
                <xdr:col>1</xdr:col>
                <xdr:colOff>781050</xdr:colOff>
                <xdr:row>58</xdr:row>
                <xdr:rowOff>171450</xdr:rowOff>
              </from>
              <to>
                <xdr:col>1</xdr:col>
                <xdr:colOff>946150</xdr:colOff>
                <xdr:row>58</xdr:row>
                <xdr:rowOff>355600</xdr:rowOff>
              </to>
            </anchor>
          </controlPr>
        </control>
      </mc:Choice>
      <mc:Fallback>
        <control shapeId="23571" r:id="rId26" name="OptionButton18"/>
      </mc:Fallback>
    </mc:AlternateContent>
    <mc:AlternateContent xmlns:mc="http://schemas.openxmlformats.org/markup-compatibility/2006">
      <mc:Choice Requires="x14">
        <control shapeId="23572" r:id="rId27" name="OptionButton19">
          <controlPr defaultSize="0" altText="" r:id="rId8">
            <anchor moveWithCells="1">
              <from>
                <xdr:col>1</xdr:col>
                <xdr:colOff>781050</xdr:colOff>
                <xdr:row>59</xdr:row>
                <xdr:rowOff>171450</xdr:rowOff>
              </from>
              <to>
                <xdr:col>1</xdr:col>
                <xdr:colOff>939800</xdr:colOff>
                <xdr:row>59</xdr:row>
                <xdr:rowOff>355600</xdr:rowOff>
              </to>
            </anchor>
          </controlPr>
        </control>
      </mc:Choice>
      <mc:Fallback>
        <control shapeId="23572" r:id="rId27" name="OptionButton19"/>
      </mc:Fallback>
    </mc:AlternateContent>
    <mc:AlternateContent xmlns:mc="http://schemas.openxmlformats.org/markup-compatibility/2006">
      <mc:Choice Requires="x14">
        <control shapeId="23573" r:id="rId28" name="OptionButton20">
          <controlPr defaultSize="0" altText="" r:id="rId6">
            <anchor moveWithCells="1">
              <from>
                <xdr:col>1</xdr:col>
                <xdr:colOff>781050</xdr:colOff>
                <xdr:row>62</xdr:row>
                <xdr:rowOff>628650</xdr:rowOff>
              </from>
              <to>
                <xdr:col>1</xdr:col>
                <xdr:colOff>946150</xdr:colOff>
                <xdr:row>62</xdr:row>
                <xdr:rowOff>812800</xdr:rowOff>
              </to>
            </anchor>
          </controlPr>
        </control>
      </mc:Choice>
      <mc:Fallback>
        <control shapeId="23573" r:id="rId28" name="OptionButton20"/>
      </mc:Fallback>
    </mc:AlternateContent>
    <mc:AlternateContent xmlns:mc="http://schemas.openxmlformats.org/markup-compatibility/2006">
      <mc:Choice Requires="x14">
        <control shapeId="23574" r:id="rId29" name="OptionButton21">
          <controlPr defaultSize="0" altText="" r:id="rId6">
            <anchor moveWithCells="1">
              <from>
                <xdr:col>1</xdr:col>
                <xdr:colOff>762000</xdr:colOff>
                <xdr:row>65</xdr:row>
                <xdr:rowOff>260350</xdr:rowOff>
              </from>
              <to>
                <xdr:col>1</xdr:col>
                <xdr:colOff>927100</xdr:colOff>
                <xdr:row>65</xdr:row>
                <xdr:rowOff>444500</xdr:rowOff>
              </to>
            </anchor>
          </controlPr>
        </control>
      </mc:Choice>
      <mc:Fallback>
        <control shapeId="23574" r:id="rId29" name="OptionButton21"/>
      </mc:Fallback>
    </mc:AlternateContent>
    <mc:AlternateContent xmlns:mc="http://schemas.openxmlformats.org/markup-compatibility/2006">
      <mc:Choice Requires="x14">
        <control shapeId="23575" r:id="rId30" name="OptionButton22">
          <controlPr defaultSize="0" altText="" r:id="rId8">
            <anchor moveWithCells="1">
              <from>
                <xdr:col>1</xdr:col>
                <xdr:colOff>793750</xdr:colOff>
                <xdr:row>68</xdr:row>
                <xdr:rowOff>336550</xdr:rowOff>
              </from>
              <to>
                <xdr:col>1</xdr:col>
                <xdr:colOff>952500</xdr:colOff>
                <xdr:row>69</xdr:row>
                <xdr:rowOff>25400</xdr:rowOff>
              </to>
            </anchor>
          </controlPr>
        </control>
      </mc:Choice>
      <mc:Fallback>
        <control shapeId="23575" r:id="rId30" name="OptionButton22"/>
      </mc:Fallback>
    </mc:AlternateContent>
    <mc:AlternateContent xmlns:mc="http://schemas.openxmlformats.org/markup-compatibility/2006">
      <mc:Choice Requires="x14">
        <control shapeId="23576" r:id="rId31" name="OptionButton23">
          <controlPr defaultSize="0" altText="" r:id="rId6">
            <anchor moveWithCells="1">
              <from>
                <xdr:col>1</xdr:col>
                <xdr:colOff>800100</xdr:colOff>
                <xdr:row>71</xdr:row>
                <xdr:rowOff>584200</xdr:rowOff>
              </from>
              <to>
                <xdr:col>1</xdr:col>
                <xdr:colOff>965200</xdr:colOff>
                <xdr:row>71</xdr:row>
                <xdr:rowOff>768350</xdr:rowOff>
              </to>
            </anchor>
          </controlPr>
        </control>
      </mc:Choice>
      <mc:Fallback>
        <control shapeId="23576" r:id="rId31" name="OptionButton23"/>
      </mc:Fallback>
    </mc:AlternateContent>
    <mc:AlternateContent xmlns:mc="http://schemas.openxmlformats.org/markup-compatibility/2006">
      <mc:Choice Requires="x14">
        <control shapeId="23577" r:id="rId32" name="OptionButton24">
          <controlPr defaultSize="0" altText="" r:id="rId6">
            <anchor moveWithCells="1">
              <from>
                <xdr:col>1</xdr:col>
                <xdr:colOff>781050</xdr:colOff>
                <xdr:row>74</xdr:row>
                <xdr:rowOff>190500</xdr:rowOff>
              </from>
              <to>
                <xdr:col>1</xdr:col>
                <xdr:colOff>946150</xdr:colOff>
                <xdr:row>75</xdr:row>
                <xdr:rowOff>44450</xdr:rowOff>
              </to>
            </anchor>
          </controlPr>
        </control>
      </mc:Choice>
      <mc:Fallback>
        <control shapeId="23577" r:id="rId32" name="OptionButton24"/>
      </mc:Fallback>
    </mc:AlternateContent>
    <mc:AlternateContent xmlns:mc="http://schemas.openxmlformats.org/markup-compatibility/2006">
      <mc:Choice Requires="x14">
        <control shapeId="23578" r:id="rId33" name="OptionButton25">
          <controlPr defaultSize="0" altText="" r:id="rId15">
            <anchor moveWithCells="1">
              <from>
                <xdr:col>1</xdr:col>
                <xdr:colOff>762000</xdr:colOff>
                <xdr:row>78</xdr:row>
                <xdr:rowOff>647700</xdr:rowOff>
              </from>
              <to>
                <xdr:col>1</xdr:col>
                <xdr:colOff>920750</xdr:colOff>
                <xdr:row>78</xdr:row>
                <xdr:rowOff>831850</xdr:rowOff>
              </to>
            </anchor>
          </controlPr>
        </control>
      </mc:Choice>
      <mc:Fallback>
        <control shapeId="23578" r:id="rId33" name="OptionButton25"/>
      </mc:Fallback>
    </mc:AlternateContent>
    <mc:AlternateContent xmlns:mc="http://schemas.openxmlformats.org/markup-compatibility/2006">
      <mc:Choice Requires="x14">
        <control shapeId="23579" r:id="rId34" name="OptionButton26">
          <controlPr defaultSize="0" altText="" r:id="rId6">
            <anchor moveWithCells="1">
              <from>
                <xdr:col>1</xdr:col>
                <xdr:colOff>774700</xdr:colOff>
                <xdr:row>81</xdr:row>
                <xdr:rowOff>279400</xdr:rowOff>
              </from>
              <to>
                <xdr:col>1</xdr:col>
                <xdr:colOff>939800</xdr:colOff>
                <xdr:row>81</xdr:row>
                <xdr:rowOff>463550</xdr:rowOff>
              </to>
            </anchor>
          </controlPr>
        </control>
      </mc:Choice>
      <mc:Fallback>
        <control shapeId="23579" r:id="rId34" name="OptionButton26"/>
      </mc:Fallback>
    </mc:AlternateContent>
    <mc:AlternateContent xmlns:mc="http://schemas.openxmlformats.org/markup-compatibility/2006">
      <mc:Choice Requires="x14">
        <control shapeId="23580" r:id="rId35" name="OptionButton27">
          <controlPr defaultSize="0" altText="" r:id="rId6">
            <anchor moveWithCells="1">
              <from>
                <xdr:col>1</xdr:col>
                <xdr:colOff>762000</xdr:colOff>
                <xdr:row>84</xdr:row>
                <xdr:rowOff>361950</xdr:rowOff>
              </from>
              <to>
                <xdr:col>1</xdr:col>
                <xdr:colOff>927100</xdr:colOff>
                <xdr:row>85</xdr:row>
                <xdr:rowOff>50800</xdr:rowOff>
              </to>
            </anchor>
          </controlPr>
        </control>
      </mc:Choice>
      <mc:Fallback>
        <control shapeId="23580" r:id="rId35" name="OptionButton27"/>
      </mc:Fallback>
    </mc:AlternateContent>
    <mc:AlternateContent xmlns:mc="http://schemas.openxmlformats.org/markup-compatibility/2006">
      <mc:Choice Requires="x14">
        <control shapeId="23581" r:id="rId36" name="OptionButton28">
          <controlPr defaultSize="0" altText="" r:id="rId37">
            <anchor moveWithCells="1">
              <from>
                <xdr:col>1</xdr:col>
                <xdr:colOff>762000</xdr:colOff>
                <xdr:row>84</xdr:row>
                <xdr:rowOff>361950</xdr:rowOff>
              </from>
              <to>
                <xdr:col>1</xdr:col>
                <xdr:colOff>927100</xdr:colOff>
                <xdr:row>85</xdr:row>
                <xdr:rowOff>50800</xdr:rowOff>
              </to>
            </anchor>
          </controlPr>
        </control>
      </mc:Choice>
      <mc:Fallback>
        <control shapeId="23581" r:id="rId36" name="OptionButton28"/>
      </mc:Fallback>
    </mc:AlternateContent>
    <mc:AlternateContent xmlns:mc="http://schemas.openxmlformats.org/markup-compatibility/2006">
      <mc:Choice Requires="x14">
        <control shapeId="23582" r:id="rId38" name="OptionButton29">
          <controlPr defaultSize="0" altText="" r:id="rId6">
            <anchor moveWithCells="1">
              <from>
                <xdr:col>1</xdr:col>
                <xdr:colOff>755650</xdr:colOff>
                <xdr:row>87</xdr:row>
                <xdr:rowOff>603250</xdr:rowOff>
              </from>
              <to>
                <xdr:col>1</xdr:col>
                <xdr:colOff>920750</xdr:colOff>
                <xdr:row>87</xdr:row>
                <xdr:rowOff>787400</xdr:rowOff>
              </to>
            </anchor>
          </controlPr>
        </control>
      </mc:Choice>
      <mc:Fallback>
        <control shapeId="23582" r:id="rId38" name="OptionButton29"/>
      </mc:Fallback>
    </mc:AlternateContent>
    <mc:AlternateContent xmlns:mc="http://schemas.openxmlformats.org/markup-compatibility/2006">
      <mc:Choice Requires="x14">
        <control shapeId="23583" r:id="rId39" name="OptionButton30">
          <controlPr defaultSize="0" altText="" r:id="rId6">
            <anchor moveWithCells="1">
              <from>
                <xdr:col>1</xdr:col>
                <xdr:colOff>762000</xdr:colOff>
                <xdr:row>90</xdr:row>
                <xdr:rowOff>127000</xdr:rowOff>
              </from>
              <to>
                <xdr:col>1</xdr:col>
                <xdr:colOff>927100</xdr:colOff>
                <xdr:row>90</xdr:row>
                <xdr:rowOff>311150</xdr:rowOff>
              </to>
            </anchor>
          </controlPr>
        </control>
      </mc:Choice>
      <mc:Fallback>
        <control shapeId="23583" r:id="rId39" name="OptionButton30"/>
      </mc:Fallback>
    </mc:AlternateContent>
    <mc:AlternateContent xmlns:mc="http://schemas.openxmlformats.org/markup-compatibility/2006">
      <mc:Choice Requires="x14">
        <control shapeId="23584" r:id="rId40" name="OptionButton31">
          <controlPr defaultSize="0" altText="" r:id="rId6">
            <anchor moveWithCells="1">
              <from>
                <xdr:col>1</xdr:col>
                <xdr:colOff>762000</xdr:colOff>
                <xdr:row>94</xdr:row>
                <xdr:rowOff>279400</xdr:rowOff>
              </from>
              <to>
                <xdr:col>1</xdr:col>
                <xdr:colOff>927100</xdr:colOff>
                <xdr:row>94</xdr:row>
                <xdr:rowOff>463550</xdr:rowOff>
              </to>
            </anchor>
          </controlPr>
        </control>
      </mc:Choice>
      <mc:Fallback>
        <control shapeId="23584" r:id="rId40" name="OptionButton31"/>
      </mc:Fallback>
    </mc:AlternateContent>
    <mc:AlternateContent xmlns:mc="http://schemas.openxmlformats.org/markup-compatibility/2006">
      <mc:Choice Requires="x14">
        <control shapeId="23585" r:id="rId41" name="OptionButton32">
          <controlPr defaultSize="0" altText="" r:id="rId6">
            <anchor moveWithCells="1">
              <from>
                <xdr:col>1</xdr:col>
                <xdr:colOff>762000</xdr:colOff>
                <xdr:row>97</xdr:row>
                <xdr:rowOff>279400</xdr:rowOff>
              </from>
              <to>
                <xdr:col>1</xdr:col>
                <xdr:colOff>927100</xdr:colOff>
                <xdr:row>98</xdr:row>
                <xdr:rowOff>133350</xdr:rowOff>
              </to>
            </anchor>
          </controlPr>
        </control>
      </mc:Choice>
      <mc:Fallback>
        <control shapeId="23585" r:id="rId41" name="OptionButton32"/>
      </mc:Fallback>
    </mc:AlternateContent>
    <mc:AlternateContent xmlns:mc="http://schemas.openxmlformats.org/markup-compatibility/2006">
      <mc:Choice Requires="x14">
        <control shapeId="23586" r:id="rId42" name="OptionButton33">
          <controlPr defaultSize="0" altText="" r:id="rId8">
            <anchor moveWithCells="1">
              <from>
                <xdr:col>1</xdr:col>
                <xdr:colOff>762000</xdr:colOff>
                <xdr:row>100</xdr:row>
                <xdr:rowOff>279400</xdr:rowOff>
              </from>
              <to>
                <xdr:col>1</xdr:col>
                <xdr:colOff>920750</xdr:colOff>
                <xdr:row>101</xdr:row>
                <xdr:rowOff>133350</xdr:rowOff>
              </to>
            </anchor>
          </controlPr>
        </control>
      </mc:Choice>
      <mc:Fallback>
        <control shapeId="23586" r:id="rId42" name="OptionButton33"/>
      </mc:Fallback>
    </mc:AlternateContent>
    <mc:AlternateContent xmlns:mc="http://schemas.openxmlformats.org/markup-compatibility/2006">
      <mc:Choice Requires="x14">
        <control shapeId="23587" r:id="rId43" name="OptionButton34">
          <controlPr defaultSize="0" altText="" r:id="rId6">
            <anchor moveWithCells="1">
              <from>
                <xdr:col>1</xdr:col>
                <xdr:colOff>774700</xdr:colOff>
                <xdr:row>103</xdr:row>
                <xdr:rowOff>336550</xdr:rowOff>
              </from>
              <to>
                <xdr:col>1</xdr:col>
                <xdr:colOff>939800</xdr:colOff>
                <xdr:row>104</xdr:row>
                <xdr:rowOff>25400</xdr:rowOff>
              </to>
            </anchor>
          </controlPr>
        </control>
      </mc:Choice>
      <mc:Fallback>
        <control shapeId="23587" r:id="rId43" name="OptionButton34"/>
      </mc:Fallback>
    </mc:AlternateContent>
    <mc:AlternateContent xmlns:mc="http://schemas.openxmlformats.org/markup-compatibility/2006">
      <mc:Choice Requires="x14">
        <control shapeId="23588" r:id="rId44" name="OptionButton35">
          <controlPr defaultSize="0" altText="" r:id="rId6">
            <anchor moveWithCells="1">
              <from>
                <xdr:col>1</xdr:col>
                <xdr:colOff>793750</xdr:colOff>
                <xdr:row>106</xdr:row>
                <xdr:rowOff>266700</xdr:rowOff>
              </from>
              <to>
                <xdr:col>1</xdr:col>
                <xdr:colOff>958850</xdr:colOff>
                <xdr:row>107</xdr:row>
                <xdr:rowOff>120650</xdr:rowOff>
              </to>
            </anchor>
          </controlPr>
        </control>
      </mc:Choice>
      <mc:Fallback>
        <control shapeId="23588" r:id="rId44" name="OptionButton35"/>
      </mc:Fallback>
    </mc:AlternateContent>
    <mc:AlternateContent xmlns:mc="http://schemas.openxmlformats.org/markup-compatibility/2006">
      <mc:Choice Requires="x14">
        <control shapeId="23589" r:id="rId45" name="OptionButton36">
          <controlPr defaultSize="0" altText="" r:id="rId6">
            <anchor moveWithCells="1">
              <from>
                <xdr:col>5</xdr:col>
                <xdr:colOff>774700</xdr:colOff>
                <xdr:row>28</xdr:row>
                <xdr:rowOff>279400</xdr:rowOff>
              </from>
              <to>
                <xdr:col>5</xdr:col>
                <xdr:colOff>939800</xdr:colOff>
                <xdr:row>29</xdr:row>
                <xdr:rowOff>133350</xdr:rowOff>
              </to>
            </anchor>
          </controlPr>
        </control>
      </mc:Choice>
      <mc:Fallback>
        <control shapeId="23589" r:id="rId45" name="OptionButton36"/>
      </mc:Fallback>
    </mc:AlternateContent>
    <mc:AlternateContent xmlns:mc="http://schemas.openxmlformats.org/markup-compatibility/2006">
      <mc:Choice Requires="x14">
        <control shapeId="23590" r:id="rId46" name="OptionButton37">
          <controlPr defaultSize="0" altText="" r:id="rId8">
            <anchor moveWithCells="1">
              <from>
                <xdr:col>5</xdr:col>
                <xdr:colOff>762000</xdr:colOff>
                <xdr:row>32</xdr:row>
                <xdr:rowOff>0</xdr:rowOff>
              </from>
              <to>
                <xdr:col>5</xdr:col>
                <xdr:colOff>920750</xdr:colOff>
                <xdr:row>32</xdr:row>
                <xdr:rowOff>184150</xdr:rowOff>
              </to>
            </anchor>
          </controlPr>
        </control>
      </mc:Choice>
      <mc:Fallback>
        <control shapeId="23590" r:id="rId46" name="OptionButton37"/>
      </mc:Fallback>
    </mc:AlternateContent>
    <mc:AlternateContent xmlns:mc="http://schemas.openxmlformats.org/markup-compatibility/2006">
      <mc:Choice Requires="x14">
        <control shapeId="23591" r:id="rId47" name="OptionButton38">
          <controlPr defaultSize="0" altText="" r:id="rId15">
            <anchor moveWithCells="1">
              <from>
                <xdr:col>5</xdr:col>
                <xdr:colOff>800100</xdr:colOff>
                <xdr:row>36</xdr:row>
                <xdr:rowOff>0</xdr:rowOff>
              </from>
              <to>
                <xdr:col>5</xdr:col>
                <xdr:colOff>958850</xdr:colOff>
                <xdr:row>36</xdr:row>
                <xdr:rowOff>184150</xdr:rowOff>
              </to>
            </anchor>
          </controlPr>
        </control>
      </mc:Choice>
      <mc:Fallback>
        <control shapeId="23591" r:id="rId47" name="OptionButton38"/>
      </mc:Fallback>
    </mc:AlternateContent>
    <mc:AlternateContent xmlns:mc="http://schemas.openxmlformats.org/markup-compatibility/2006">
      <mc:Choice Requires="x14">
        <control shapeId="23592" r:id="rId48" name="OptionButton39">
          <controlPr defaultSize="0" altText="" r:id="rId6">
            <anchor moveWithCells="1">
              <from>
                <xdr:col>5</xdr:col>
                <xdr:colOff>762000</xdr:colOff>
                <xdr:row>40</xdr:row>
                <xdr:rowOff>0</xdr:rowOff>
              </from>
              <to>
                <xdr:col>5</xdr:col>
                <xdr:colOff>927100</xdr:colOff>
                <xdr:row>40</xdr:row>
                <xdr:rowOff>184150</xdr:rowOff>
              </to>
            </anchor>
          </controlPr>
        </control>
      </mc:Choice>
      <mc:Fallback>
        <control shapeId="23592" r:id="rId48" name="OptionButton39"/>
      </mc:Fallback>
    </mc:AlternateContent>
    <mc:AlternateContent xmlns:mc="http://schemas.openxmlformats.org/markup-compatibility/2006">
      <mc:Choice Requires="x14">
        <control shapeId="23593" r:id="rId49" name="OptionButton40">
          <controlPr defaultSize="0" altText="" r:id="rId6">
            <anchor moveWithCells="1">
              <from>
                <xdr:col>5</xdr:col>
                <xdr:colOff>774700</xdr:colOff>
                <xdr:row>44</xdr:row>
                <xdr:rowOff>69850</xdr:rowOff>
              </from>
              <to>
                <xdr:col>5</xdr:col>
                <xdr:colOff>939800</xdr:colOff>
                <xdr:row>44</xdr:row>
                <xdr:rowOff>254000</xdr:rowOff>
              </to>
            </anchor>
          </controlPr>
        </control>
      </mc:Choice>
      <mc:Fallback>
        <control shapeId="23593" r:id="rId49" name="OptionButton40"/>
      </mc:Fallback>
    </mc:AlternateContent>
    <mc:AlternateContent xmlns:mc="http://schemas.openxmlformats.org/markup-compatibility/2006">
      <mc:Choice Requires="x14">
        <control shapeId="23594" r:id="rId50" name="OptionButton41">
          <controlPr defaultSize="0" altText="" r:id="rId6">
            <anchor moveWithCells="1">
              <from>
                <xdr:col>5</xdr:col>
                <xdr:colOff>793750</xdr:colOff>
                <xdr:row>49</xdr:row>
                <xdr:rowOff>508000</xdr:rowOff>
              </from>
              <to>
                <xdr:col>5</xdr:col>
                <xdr:colOff>958850</xdr:colOff>
                <xdr:row>49</xdr:row>
                <xdr:rowOff>692150</xdr:rowOff>
              </to>
            </anchor>
          </controlPr>
        </control>
      </mc:Choice>
      <mc:Fallback>
        <control shapeId="23594" r:id="rId50" name="OptionButton41"/>
      </mc:Fallback>
    </mc:AlternateContent>
    <mc:AlternateContent xmlns:mc="http://schemas.openxmlformats.org/markup-compatibility/2006">
      <mc:Choice Requires="x14">
        <control shapeId="23595" r:id="rId51" name="OptionButton42">
          <controlPr defaultSize="0" altText="" r:id="rId6">
            <anchor moveWithCells="1">
              <from>
                <xdr:col>5</xdr:col>
                <xdr:colOff>793750</xdr:colOff>
                <xdr:row>52</xdr:row>
                <xdr:rowOff>317500</xdr:rowOff>
              </from>
              <to>
                <xdr:col>5</xdr:col>
                <xdr:colOff>958850</xdr:colOff>
                <xdr:row>52</xdr:row>
                <xdr:rowOff>501650</xdr:rowOff>
              </to>
            </anchor>
          </controlPr>
        </control>
      </mc:Choice>
      <mc:Fallback>
        <control shapeId="23595" r:id="rId51" name="OptionButton42"/>
      </mc:Fallback>
    </mc:AlternateContent>
    <mc:AlternateContent xmlns:mc="http://schemas.openxmlformats.org/markup-compatibility/2006">
      <mc:Choice Requires="x14">
        <control shapeId="23596" r:id="rId52" name="OptionButton43">
          <controlPr defaultSize="0" altText="" r:id="rId8">
            <anchor moveWithCells="1">
              <from>
                <xdr:col>5</xdr:col>
                <xdr:colOff>781050</xdr:colOff>
                <xdr:row>55</xdr:row>
                <xdr:rowOff>279400</xdr:rowOff>
              </from>
              <to>
                <xdr:col>5</xdr:col>
                <xdr:colOff>939800</xdr:colOff>
                <xdr:row>55</xdr:row>
                <xdr:rowOff>463550</xdr:rowOff>
              </to>
            </anchor>
          </controlPr>
        </control>
      </mc:Choice>
      <mc:Fallback>
        <control shapeId="23596" r:id="rId52" name="OptionButton43"/>
      </mc:Fallback>
    </mc:AlternateContent>
    <mc:AlternateContent xmlns:mc="http://schemas.openxmlformats.org/markup-compatibility/2006">
      <mc:Choice Requires="x14">
        <control shapeId="23597" r:id="rId53" name="OptionButton44">
          <controlPr defaultSize="0" altText="" r:id="rId6">
            <anchor moveWithCells="1">
              <from>
                <xdr:col>5</xdr:col>
                <xdr:colOff>762000</xdr:colOff>
                <xdr:row>58</xdr:row>
                <xdr:rowOff>171450</xdr:rowOff>
              </from>
              <to>
                <xdr:col>5</xdr:col>
                <xdr:colOff>927100</xdr:colOff>
                <xdr:row>58</xdr:row>
                <xdr:rowOff>355600</xdr:rowOff>
              </to>
            </anchor>
          </controlPr>
        </control>
      </mc:Choice>
      <mc:Fallback>
        <control shapeId="23597" r:id="rId53" name="OptionButton44"/>
      </mc:Fallback>
    </mc:AlternateContent>
    <mc:AlternateContent xmlns:mc="http://schemas.openxmlformats.org/markup-compatibility/2006">
      <mc:Choice Requires="x14">
        <control shapeId="23598" r:id="rId54" name="OptionButton45">
          <controlPr defaultSize="0" altText="" r:id="rId6">
            <anchor moveWithCells="1">
              <from>
                <xdr:col>5</xdr:col>
                <xdr:colOff>793750</xdr:colOff>
                <xdr:row>59</xdr:row>
                <xdr:rowOff>171450</xdr:rowOff>
              </from>
              <to>
                <xdr:col>5</xdr:col>
                <xdr:colOff>958850</xdr:colOff>
                <xdr:row>59</xdr:row>
                <xdr:rowOff>355600</xdr:rowOff>
              </to>
            </anchor>
          </controlPr>
        </control>
      </mc:Choice>
      <mc:Fallback>
        <control shapeId="23598" r:id="rId54" name="OptionButton45"/>
      </mc:Fallback>
    </mc:AlternateContent>
    <mc:AlternateContent xmlns:mc="http://schemas.openxmlformats.org/markup-compatibility/2006">
      <mc:Choice Requires="x14">
        <control shapeId="23599" r:id="rId55" name="OptionButton46">
          <controlPr defaultSize="0" altText="" r:id="rId6">
            <anchor moveWithCells="1">
              <from>
                <xdr:col>5</xdr:col>
                <xdr:colOff>755650</xdr:colOff>
                <xdr:row>62</xdr:row>
                <xdr:rowOff>622300</xdr:rowOff>
              </from>
              <to>
                <xdr:col>5</xdr:col>
                <xdr:colOff>920750</xdr:colOff>
                <xdr:row>62</xdr:row>
                <xdr:rowOff>806450</xdr:rowOff>
              </to>
            </anchor>
          </controlPr>
        </control>
      </mc:Choice>
      <mc:Fallback>
        <control shapeId="23599" r:id="rId55" name="OptionButton46"/>
      </mc:Fallback>
    </mc:AlternateContent>
    <mc:AlternateContent xmlns:mc="http://schemas.openxmlformats.org/markup-compatibility/2006">
      <mc:Choice Requires="x14">
        <control shapeId="23600" r:id="rId56" name="OptionButton47">
          <controlPr defaultSize="0" altText="" r:id="rId6">
            <anchor moveWithCells="1">
              <from>
                <xdr:col>5</xdr:col>
                <xdr:colOff>774700</xdr:colOff>
                <xdr:row>65</xdr:row>
                <xdr:rowOff>317500</xdr:rowOff>
              </from>
              <to>
                <xdr:col>5</xdr:col>
                <xdr:colOff>939800</xdr:colOff>
                <xdr:row>66</xdr:row>
                <xdr:rowOff>6350</xdr:rowOff>
              </to>
            </anchor>
          </controlPr>
        </control>
      </mc:Choice>
      <mc:Fallback>
        <control shapeId="23600" r:id="rId56" name="OptionButton47"/>
      </mc:Fallback>
    </mc:AlternateContent>
    <mc:AlternateContent xmlns:mc="http://schemas.openxmlformats.org/markup-compatibility/2006">
      <mc:Choice Requires="x14">
        <control shapeId="23601" r:id="rId57" name="OptionButton48">
          <controlPr defaultSize="0" altText="" r:id="rId6">
            <anchor moveWithCells="1">
              <from>
                <xdr:col>5</xdr:col>
                <xdr:colOff>762000</xdr:colOff>
                <xdr:row>68</xdr:row>
                <xdr:rowOff>342900</xdr:rowOff>
              </from>
              <to>
                <xdr:col>5</xdr:col>
                <xdr:colOff>927100</xdr:colOff>
                <xdr:row>69</xdr:row>
                <xdr:rowOff>31750</xdr:rowOff>
              </to>
            </anchor>
          </controlPr>
        </control>
      </mc:Choice>
      <mc:Fallback>
        <control shapeId="23601" r:id="rId57" name="OptionButton48"/>
      </mc:Fallback>
    </mc:AlternateContent>
    <mc:AlternateContent xmlns:mc="http://schemas.openxmlformats.org/markup-compatibility/2006">
      <mc:Choice Requires="x14">
        <control shapeId="23602" r:id="rId58" name="OptionButton49">
          <controlPr defaultSize="0" altText="" r:id="rId8">
            <anchor moveWithCells="1">
              <from>
                <xdr:col>5</xdr:col>
                <xdr:colOff>755650</xdr:colOff>
                <xdr:row>71</xdr:row>
                <xdr:rowOff>622300</xdr:rowOff>
              </from>
              <to>
                <xdr:col>5</xdr:col>
                <xdr:colOff>914400</xdr:colOff>
                <xdr:row>71</xdr:row>
                <xdr:rowOff>806450</xdr:rowOff>
              </to>
            </anchor>
          </controlPr>
        </control>
      </mc:Choice>
      <mc:Fallback>
        <control shapeId="23602" r:id="rId58" name="OptionButton49"/>
      </mc:Fallback>
    </mc:AlternateContent>
    <mc:AlternateContent xmlns:mc="http://schemas.openxmlformats.org/markup-compatibility/2006">
      <mc:Choice Requires="x14">
        <control shapeId="23603" r:id="rId59" name="OptionButton50">
          <controlPr defaultSize="0" altText="" r:id="rId6">
            <anchor moveWithCells="1">
              <from>
                <xdr:col>5</xdr:col>
                <xdr:colOff>755650</xdr:colOff>
                <xdr:row>78</xdr:row>
                <xdr:rowOff>622300</xdr:rowOff>
              </from>
              <to>
                <xdr:col>5</xdr:col>
                <xdr:colOff>920750</xdr:colOff>
                <xdr:row>78</xdr:row>
                <xdr:rowOff>806450</xdr:rowOff>
              </to>
            </anchor>
          </controlPr>
        </control>
      </mc:Choice>
      <mc:Fallback>
        <control shapeId="23603" r:id="rId59" name="OptionButton50"/>
      </mc:Fallback>
    </mc:AlternateContent>
    <mc:AlternateContent xmlns:mc="http://schemas.openxmlformats.org/markup-compatibility/2006">
      <mc:Choice Requires="x14">
        <control shapeId="23604" r:id="rId60" name="OptionButton51">
          <controlPr defaultSize="0" altText="" r:id="rId6">
            <anchor moveWithCells="1">
              <from>
                <xdr:col>5</xdr:col>
                <xdr:colOff>762000</xdr:colOff>
                <xdr:row>81</xdr:row>
                <xdr:rowOff>304800</xdr:rowOff>
              </from>
              <to>
                <xdr:col>5</xdr:col>
                <xdr:colOff>927100</xdr:colOff>
                <xdr:row>81</xdr:row>
                <xdr:rowOff>488950</xdr:rowOff>
              </to>
            </anchor>
          </controlPr>
        </control>
      </mc:Choice>
      <mc:Fallback>
        <control shapeId="23604" r:id="rId60" name="OptionButton51"/>
      </mc:Fallback>
    </mc:AlternateContent>
    <mc:AlternateContent xmlns:mc="http://schemas.openxmlformats.org/markup-compatibility/2006">
      <mc:Choice Requires="x14">
        <control shapeId="23605" r:id="rId61" name="OptionButton52">
          <controlPr defaultSize="0" altText="" r:id="rId37">
            <anchor moveWithCells="1">
              <from>
                <xdr:col>5</xdr:col>
                <xdr:colOff>774700</xdr:colOff>
                <xdr:row>84</xdr:row>
                <xdr:rowOff>393700</xdr:rowOff>
              </from>
              <to>
                <xdr:col>5</xdr:col>
                <xdr:colOff>939800</xdr:colOff>
                <xdr:row>85</xdr:row>
                <xdr:rowOff>82550</xdr:rowOff>
              </to>
            </anchor>
          </controlPr>
        </control>
      </mc:Choice>
      <mc:Fallback>
        <control shapeId="23605" r:id="rId61" name="OptionButton52"/>
      </mc:Fallback>
    </mc:AlternateContent>
    <mc:AlternateContent xmlns:mc="http://schemas.openxmlformats.org/markup-compatibility/2006">
      <mc:Choice Requires="x14">
        <control shapeId="23606" r:id="rId62" name="OptionButton53">
          <controlPr defaultSize="0" altText="" r:id="rId15">
            <anchor moveWithCells="1">
              <from>
                <xdr:col>5</xdr:col>
                <xdr:colOff>774700</xdr:colOff>
                <xdr:row>87</xdr:row>
                <xdr:rowOff>628650</xdr:rowOff>
              </from>
              <to>
                <xdr:col>5</xdr:col>
                <xdr:colOff>933450</xdr:colOff>
                <xdr:row>87</xdr:row>
                <xdr:rowOff>812800</xdr:rowOff>
              </to>
            </anchor>
          </controlPr>
        </control>
      </mc:Choice>
      <mc:Fallback>
        <control shapeId="23606" r:id="rId62" name="OptionButton53"/>
      </mc:Fallback>
    </mc:AlternateContent>
    <mc:AlternateContent xmlns:mc="http://schemas.openxmlformats.org/markup-compatibility/2006">
      <mc:Choice Requires="x14">
        <control shapeId="23607" r:id="rId63" name="OptionButton54">
          <controlPr defaultSize="0" altText="" r:id="rId15">
            <anchor moveWithCells="1">
              <from>
                <xdr:col>5</xdr:col>
                <xdr:colOff>755650</xdr:colOff>
                <xdr:row>90</xdr:row>
                <xdr:rowOff>184150</xdr:rowOff>
              </from>
              <to>
                <xdr:col>5</xdr:col>
                <xdr:colOff>914400</xdr:colOff>
                <xdr:row>91</xdr:row>
                <xdr:rowOff>38100</xdr:rowOff>
              </to>
            </anchor>
          </controlPr>
        </control>
      </mc:Choice>
      <mc:Fallback>
        <control shapeId="23607" r:id="rId63" name="OptionButton54"/>
      </mc:Fallback>
    </mc:AlternateContent>
    <mc:AlternateContent xmlns:mc="http://schemas.openxmlformats.org/markup-compatibility/2006">
      <mc:Choice Requires="x14">
        <control shapeId="23608" r:id="rId64" name="OptionButton55">
          <controlPr defaultSize="0" altText="" r:id="rId6">
            <anchor moveWithCells="1">
              <from>
                <xdr:col>5</xdr:col>
                <xdr:colOff>762000</xdr:colOff>
                <xdr:row>94</xdr:row>
                <xdr:rowOff>247650</xdr:rowOff>
              </from>
              <to>
                <xdr:col>5</xdr:col>
                <xdr:colOff>927100</xdr:colOff>
                <xdr:row>94</xdr:row>
                <xdr:rowOff>431800</xdr:rowOff>
              </to>
            </anchor>
          </controlPr>
        </control>
      </mc:Choice>
      <mc:Fallback>
        <control shapeId="23608" r:id="rId64" name="OptionButton55"/>
      </mc:Fallback>
    </mc:AlternateContent>
    <mc:AlternateContent xmlns:mc="http://schemas.openxmlformats.org/markup-compatibility/2006">
      <mc:Choice Requires="x14">
        <control shapeId="23609" r:id="rId65" name="OptionButton56">
          <controlPr defaultSize="0" altText="" r:id="rId6">
            <anchor moveWithCells="1">
              <from>
                <xdr:col>5</xdr:col>
                <xdr:colOff>762000</xdr:colOff>
                <xdr:row>97</xdr:row>
                <xdr:rowOff>247650</xdr:rowOff>
              </from>
              <to>
                <xdr:col>5</xdr:col>
                <xdr:colOff>927100</xdr:colOff>
                <xdr:row>98</xdr:row>
                <xdr:rowOff>101600</xdr:rowOff>
              </to>
            </anchor>
          </controlPr>
        </control>
      </mc:Choice>
      <mc:Fallback>
        <control shapeId="23609" r:id="rId65" name="OptionButton56"/>
      </mc:Fallback>
    </mc:AlternateContent>
    <mc:AlternateContent xmlns:mc="http://schemas.openxmlformats.org/markup-compatibility/2006">
      <mc:Choice Requires="x14">
        <control shapeId="23610" r:id="rId66" name="OptionButton57">
          <controlPr defaultSize="0" altText="" r:id="rId6">
            <anchor moveWithCells="1">
              <from>
                <xdr:col>5</xdr:col>
                <xdr:colOff>762000</xdr:colOff>
                <xdr:row>100</xdr:row>
                <xdr:rowOff>247650</xdr:rowOff>
              </from>
              <to>
                <xdr:col>5</xdr:col>
                <xdr:colOff>927100</xdr:colOff>
                <xdr:row>101</xdr:row>
                <xdr:rowOff>101600</xdr:rowOff>
              </to>
            </anchor>
          </controlPr>
        </control>
      </mc:Choice>
      <mc:Fallback>
        <control shapeId="23610" r:id="rId66" name="OptionButton57"/>
      </mc:Fallback>
    </mc:AlternateContent>
    <mc:AlternateContent xmlns:mc="http://schemas.openxmlformats.org/markup-compatibility/2006">
      <mc:Choice Requires="x14">
        <control shapeId="23611" r:id="rId67" name="OptionButton58">
          <controlPr defaultSize="0" altText="" r:id="rId15">
            <anchor moveWithCells="1">
              <from>
                <xdr:col>5</xdr:col>
                <xdr:colOff>755650</xdr:colOff>
                <xdr:row>103</xdr:row>
                <xdr:rowOff>381000</xdr:rowOff>
              </from>
              <to>
                <xdr:col>5</xdr:col>
                <xdr:colOff>914400</xdr:colOff>
                <xdr:row>104</xdr:row>
                <xdr:rowOff>69850</xdr:rowOff>
              </to>
            </anchor>
          </controlPr>
        </control>
      </mc:Choice>
      <mc:Fallback>
        <control shapeId="23611" r:id="rId67" name="OptionButton58"/>
      </mc:Fallback>
    </mc:AlternateContent>
    <mc:AlternateContent xmlns:mc="http://schemas.openxmlformats.org/markup-compatibility/2006">
      <mc:Choice Requires="x14">
        <control shapeId="23612" r:id="rId68" name="OptionButton59">
          <controlPr defaultSize="0" altText="" r:id="rId8">
            <anchor moveWithCells="1">
              <from>
                <xdr:col>5</xdr:col>
                <xdr:colOff>781050</xdr:colOff>
                <xdr:row>106</xdr:row>
                <xdr:rowOff>260350</xdr:rowOff>
              </from>
              <to>
                <xdr:col>5</xdr:col>
                <xdr:colOff>939800</xdr:colOff>
                <xdr:row>107</xdr:row>
                <xdr:rowOff>114300</xdr:rowOff>
              </to>
            </anchor>
          </controlPr>
        </control>
      </mc:Choice>
      <mc:Fallback>
        <control shapeId="23612" r:id="rId68" name="OptionButton59"/>
      </mc:Fallback>
    </mc:AlternateContent>
    <mc:AlternateContent xmlns:mc="http://schemas.openxmlformats.org/markup-compatibility/2006">
      <mc:Choice Requires="x14">
        <control shapeId="23613" r:id="rId69" name="OptionButton60">
          <controlPr defaultSize="0" altText="" r:id="rId6">
            <anchor moveWithCells="1">
              <from>
                <xdr:col>5</xdr:col>
                <xdr:colOff>736600</xdr:colOff>
                <xdr:row>74</xdr:row>
                <xdr:rowOff>127000</xdr:rowOff>
              </from>
              <to>
                <xdr:col>5</xdr:col>
                <xdr:colOff>901700</xdr:colOff>
                <xdr:row>74</xdr:row>
                <xdr:rowOff>311150</xdr:rowOff>
              </to>
            </anchor>
          </controlPr>
        </control>
      </mc:Choice>
      <mc:Fallback>
        <control shapeId="23613" r:id="rId69" name="OptionButton60"/>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L154"/>
  <sheetViews>
    <sheetView view="pageBreakPreview" zoomScale="60" zoomScaleNormal="85" workbookViewId="0">
      <selection activeCell="H16" sqref="H16:H19"/>
    </sheetView>
  </sheetViews>
  <sheetFormatPr defaultColWidth="9.1796875" defaultRowHeight="14.5"/>
  <cols>
    <col min="1" max="1" width="24.1796875" style="157" customWidth="1"/>
    <col min="2" max="2" width="16.81640625" style="158" customWidth="1"/>
    <col min="3" max="3" width="3.453125" style="159" customWidth="1"/>
    <col min="4" max="4" width="64.1796875" style="157" customWidth="1"/>
    <col min="5" max="5" width="31.453125" style="160" customWidth="1"/>
    <col min="6" max="6" width="16.81640625" style="158" customWidth="1"/>
    <col min="7" max="7" width="2.7265625" style="159" customWidth="1"/>
    <col min="8" max="8" width="64.1796875" style="157" customWidth="1"/>
    <col min="9" max="9" width="37.1796875" style="161" customWidth="1"/>
    <col min="10" max="10" width="9.1796875" style="30"/>
    <col min="11" max="11" width="46" style="30" customWidth="1"/>
    <col min="12" max="12" width="13.54296875" style="30" customWidth="1"/>
    <col min="13" max="16384" width="9.1796875" style="30"/>
  </cols>
  <sheetData>
    <row r="1" spans="1:12" ht="30.75" customHeight="1">
      <c r="A1" s="368" t="s">
        <v>422</v>
      </c>
      <c r="B1" s="369"/>
      <c r="C1" s="369"/>
      <c r="D1" s="369"/>
      <c r="E1" s="369"/>
      <c r="F1" s="369"/>
      <c r="G1" s="369"/>
      <c r="H1" s="369"/>
      <c r="I1" s="370"/>
    </row>
    <row r="2" spans="1:12">
      <c r="A2" s="287" t="s">
        <v>2</v>
      </c>
      <c r="B2" s="288"/>
      <c r="C2" s="288"/>
      <c r="D2" s="288"/>
      <c r="E2" s="288"/>
      <c r="F2" s="288"/>
      <c r="G2" s="288"/>
      <c r="H2" s="288"/>
      <c r="I2" s="289"/>
    </row>
    <row r="3" spans="1:12" ht="17.25" customHeight="1">
      <c r="A3" s="290"/>
      <c r="B3" s="291"/>
      <c r="C3" s="291"/>
      <c r="D3" s="291"/>
      <c r="E3" s="291"/>
      <c r="F3" s="291"/>
      <c r="G3" s="291"/>
      <c r="H3" s="291"/>
      <c r="I3" s="292"/>
    </row>
    <row r="4" spans="1:12">
      <c r="A4" s="480" t="s">
        <v>3</v>
      </c>
      <c r="B4" s="481"/>
      <c r="C4" s="481"/>
      <c r="D4" s="481"/>
      <c r="E4" s="481"/>
      <c r="F4" s="481"/>
      <c r="G4" s="481"/>
      <c r="H4" s="481"/>
      <c r="I4" s="482"/>
    </row>
    <row r="5" spans="1:12" ht="35.25" customHeight="1">
      <c r="A5" s="290"/>
      <c r="B5" s="291"/>
      <c r="C5" s="291"/>
      <c r="D5" s="291"/>
      <c r="E5" s="291"/>
      <c r="F5" s="291"/>
      <c r="G5" s="291"/>
      <c r="H5" s="291"/>
      <c r="I5" s="292"/>
    </row>
    <row r="6" spans="1:12">
      <c r="A6" s="468" t="s">
        <v>4</v>
      </c>
      <c r="B6" s="469"/>
      <c r="C6" s="469"/>
      <c r="D6" s="469"/>
      <c r="E6" s="469"/>
      <c r="F6" s="469"/>
      <c r="G6" s="469"/>
      <c r="H6" s="469"/>
      <c r="I6" s="470"/>
    </row>
    <row r="7" spans="1:12">
      <c r="A7" s="162" t="s">
        <v>306</v>
      </c>
      <c r="B7" s="163" t="s">
        <v>7</v>
      </c>
      <c r="C7" s="380" t="s">
        <v>8</v>
      </c>
      <c r="D7" s="380"/>
      <c r="E7" s="164" t="s">
        <v>708</v>
      </c>
      <c r="F7" s="164" t="s">
        <v>7</v>
      </c>
      <c r="G7" s="378" t="s">
        <v>9</v>
      </c>
      <c r="H7" s="379"/>
      <c r="I7" s="164" t="s">
        <v>708</v>
      </c>
    </row>
    <row r="8" spans="1:12" ht="15" customHeight="1">
      <c r="A8" s="477" t="s">
        <v>423</v>
      </c>
      <c r="B8" s="491" t="s">
        <v>11</v>
      </c>
      <c r="C8" s="150" t="s">
        <v>15</v>
      </c>
      <c r="D8" s="142" t="s">
        <v>424</v>
      </c>
      <c r="E8" s="133"/>
      <c r="F8" s="491" t="s">
        <v>11</v>
      </c>
      <c r="G8" s="526" t="s">
        <v>358</v>
      </c>
      <c r="H8" s="513" t="s">
        <v>425</v>
      </c>
      <c r="I8" s="501"/>
      <c r="L8" s="156"/>
    </row>
    <row r="9" spans="1:12">
      <c r="A9" s="478"/>
      <c r="B9" s="492"/>
      <c r="C9" s="26" t="s">
        <v>19</v>
      </c>
      <c r="D9" s="102" t="s">
        <v>426</v>
      </c>
      <c r="E9" s="126"/>
      <c r="F9" s="492"/>
      <c r="G9" s="511"/>
      <c r="H9" s="514"/>
      <c r="I9" s="502"/>
      <c r="L9" s="156"/>
    </row>
    <row r="10" spans="1:12">
      <c r="A10" s="478"/>
      <c r="B10" s="492"/>
      <c r="C10" s="528" t="s">
        <v>24</v>
      </c>
      <c r="D10" s="453" t="s">
        <v>427</v>
      </c>
      <c r="E10" s="455"/>
      <c r="F10" s="492"/>
      <c r="G10" s="511"/>
      <c r="H10" s="514"/>
      <c r="I10" s="502"/>
      <c r="L10" s="156"/>
    </row>
    <row r="11" spans="1:12">
      <c r="A11" s="478"/>
      <c r="B11" s="492"/>
      <c r="C11" s="529"/>
      <c r="D11" s="454"/>
      <c r="E11" s="456"/>
      <c r="F11" s="492"/>
      <c r="G11" s="527"/>
      <c r="H11" s="514"/>
      <c r="I11" s="502"/>
    </row>
    <row r="12" spans="1:12" ht="15.75" customHeight="1">
      <c r="A12" s="478"/>
      <c r="B12" s="525" t="s">
        <v>14</v>
      </c>
      <c r="C12" s="26" t="s">
        <v>15</v>
      </c>
      <c r="D12" s="102" t="s">
        <v>428</v>
      </c>
      <c r="E12" s="126"/>
      <c r="F12" s="525" t="s">
        <v>14</v>
      </c>
      <c r="G12" s="510"/>
      <c r="H12" s="515"/>
      <c r="I12" s="394"/>
    </row>
    <row r="13" spans="1:12" ht="15.75" customHeight="1">
      <c r="A13" s="478"/>
      <c r="B13" s="525"/>
      <c r="C13" s="26" t="s">
        <v>19</v>
      </c>
      <c r="D13" s="102" t="s">
        <v>429</v>
      </c>
      <c r="E13" s="126"/>
      <c r="F13" s="525"/>
      <c r="G13" s="511"/>
      <c r="H13" s="515"/>
      <c r="I13" s="397"/>
    </row>
    <row r="14" spans="1:12" ht="15.75" customHeight="1">
      <c r="A14" s="478"/>
      <c r="B14" s="525"/>
      <c r="C14" s="528" t="s">
        <v>24</v>
      </c>
      <c r="D14" s="453" t="s">
        <v>430</v>
      </c>
      <c r="E14" s="455"/>
      <c r="F14" s="525"/>
      <c r="G14" s="511"/>
      <c r="H14" s="515"/>
      <c r="I14" s="397"/>
    </row>
    <row r="15" spans="1:12" ht="15.75" customHeight="1">
      <c r="A15" s="478"/>
      <c r="B15" s="525"/>
      <c r="C15" s="529"/>
      <c r="D15" s="454"/>
      <c r="E15" s="456"/>
      <c r="F15" s="525"/>
      <c r="G15" s="527"/>
      <c r="H15" s="515"/>
      <c r="I15" s="398"/>
    </row>
    <row r="16" spans="1:12" ht="15.75" customHeight="1">
      <c r="A16" s="478"/>
      <c r="B16" s="497" t="s">
        <v>17</v>
      </c>
      <c r="C16" s="26" t="s">
        <v>15</v>
      </c>
      <c r="D16" s="102" t="s">
        <v>431</v>
      </c>
      <c r="E16" s="126"/>
      <c r="F16" s="497" t="s">
        <v>17</v>
      </c>
      <c r="G16" s="510" t="s">
        <v>358</v>
      </c>
      <c r="H16" s="514" t="s">
        <v>432</v>
      </c>
      <c r="I16" s="394"/>
    </row>
    <row r="17" spans="1:12" ht="15.75" customHeight="1">
      <c r="A17" s="478"/>
      <c r="B17" s="497"/>
      <c r="C17" s="26" t="s">
        <v>19</v>
      </c>
      <c r="D17" s="102" t="s">
        <v>433</v>
      </c>
      <c r="E17" s="126"/>
      <c r="F17" s="497"/>
      <c r="G17" s="511"/>
      <c r="H17" s="514"/>
      <c r="I17" s="397"/>
    </row>
    <row r="18" spans="1:12" ht="15.75" customHeight="1">
      <c r="A18" s="478"/>
      <c r="B18" s="497"/>
      <c r="C18" s="528" t="s">
        <v>24</v>
      </c>
      <c r="D18" s="453" t="s">
        <v>434</v>
      </c>
      <c r="E18" s="455"/>
      <c r="F18" s="497"/>
      <c r="G18" s="511"/>
      <c r="H18" s="514"/>
      <c r="I18" s="397"/>
    </row>
    <row r="19" spans="1:12" ht="15.75" customHeight="1">
      <c r="A19" s="478"/>
      <c r="B19" s="497"/>
      <c r="C19" s="529"/>
      <c r="D19" s="454"/>
      <c r="E19" s="456"/>
      <c r="F19" s="497"/>
      <c r="G19" s="527"/>
      <c r="H19" s="514"/>
      <c r="I19" s="398"/>
    </row>
    <row r="20" spans="1:12" ht="15.75" customHeight="1">
      <c r="A20" s="478"/>
      <c r="B20" s="493" t="s">
        <v>22</v>
      </c>
      <c r="C20" s="26" t="s">
        <v>15</v>
      </c>
      <c r="D20" s="102" t="s">
        <v>435</v>
      </c>
      <c r="E20" s="126"/>
      <c r="F20" s="493" t="s">
        <v>22</v>
      </c>
      <c r="G20" s="510"/>
      <c r="H20" s="515"/>
      <c r="I20" s="394"/>
    </row>
    <row r="21" spans="1:12">
      <c r="A21" s="478"/>
      <c r="B21" s="493"/>
      <c r="C21" s="26" t="s">
        <v>19</v>
      </c>
      <c r="D21" s="102" t="s">
        <v>436</v>
      </c>
      <c r="E21" s="126"/>
      <c r="F21" s="493"/>
      <c r="G21" s="511"/>
      <c r="H21" s="515"/>
      <c r="I21" s="397"/>
    </row>
    <row r="22" spans="1:12" ht="15.75" customHeight="1">
      <c r="A22" s="478"/>
      <c r="B22" s="493"/>
      <c r="C22" s="528" t="s">
        <v>24</v>
      </c>
      <c r="D22" s="453" t="s">
        <v>437</v>
      </c>
      <c r="E22" s="455"/>
      <c r="F22" s="493"/>
      <c r="G22" s="511"/>
      <c r="H22" s="515"/>
      <c r="I22" s="397"/>
    </row>
    <row r="23" spans="1:12">
      <c r="A23" s="478"/>
      <c r="B23" s="493"/>
      <c r="C23" s="529"/>
      <c r="D23" s="454"/>
      <c r="E23" s="456"/>
      <c r="F23" s="493"/>
      <c r="G23" s="527"/>
      <c r="H23" s="515"/>
      <c r="I23" s="398"/>
    </row>
    <row r="24" spans="1:12" ht="15.75" customHeight="1">
      <c r="A24" s="478"/>
      <c r="B24" s="489" t="s">
        <v>26</v>
      </c>
      <c r="C24" s="26" t="s">
        <v>15</v>
      </c>
      <c r="D24" s="102" t="s">
        <v>438</v>
      </c>
      <c r="E24" s="126"/>
      <c r="F24" s="489" t="s">
        <v>26</v>
      </c>
      <c r="G24" s="510" t="s">
        <v>358</v>
      </c>
      <c r="H24" s="514" t="s">
        <v>439</v>
      </c>
      <c r="I24" s="394"/>
    </row>
    <row r="25" spans="1:12" ht="15.75" customHeight="1">
      <c r="A25" s="478"/>
      <c r="B25" s="489"/>
      <c r="C25" s="26" t="s">
        <v>19</v>
      </c>
      <c r="D25" s="102" t="s">
        <v>440</v>
      </c>
      <c r="E25" s="126"/>
      <c r="F25" s="489"/>
      <c r="G25" s="511"/>
      <c r="H25" s="516"/>
      <c r="I25" s="399"/>
    </row>
    <row r="26" spans="1:12" ht="15.75" customHeight="1">
      <c r="A26" s="478"/>
      <c r="B26" s="489"/>
      <c r="C26" s="528" t="s">
        <v>24</v>
      </c>
      <c r="D26" s="453" t="s">
        <v>441</v>
      </c>
      <c r="E26" s="455"/>
      <c r="F26" s="489"/>
      <c r="G26" s="511"/>
      <c r="H26" s="516"/>
      <c r="I26" s="399"/>
    </row>
    <row r="27" spans="1:12" ht="16.5" customHeight="1">
      <c r="A27" s="479"/>
      <c r="B27" s="490"/>
      <c r="C27" s="531"/>
      <c r="D27" s="422"/>
      <c r="E27" s="500"/>
      <c r="F27" s="490"/>
      <c r="G27" s="512"/>
      <c r="H27" s="517"/>
      <c r="I27" s="395"/>
    </row>
    <row r="28" spans="1:12" ht="15" customHeight="1">
      <c r="A28" s="480" t="s">
        <v>3</v>
      </c>
      <c r="B28" s="481"/>
      <c r="C28" s="481"/>
      <c r="D28" s="481"/>
      <c r="E28" s="481"/>
      <c r="F28" s="481"/>
      <c r="G28" s="481"/>
      <c r="H28" s="481"/>
      <c r="I28" s="482"/>
      <c r="K28" s="171"/>
    </row>
    <row r="29" spans="1:12">
      <c r="A29" s="290"/>
      <c r="B29" s="291"/>
      <c r="C29" s="291"/>
      <c r="D29" s="291"/>
      <c r="E29" s="291"/>
      <c r="F29" s="291"/>
      <c r="G29" s="291"/>
      <c r="H29" s="291"/>
      <c r="I29" s="292"/>
    </row>
    <row r="30" spans="1:12" ht="26">
      <c r="A30" s="477" t="s">
        <v>442</v>
      </c>
      <c r="B30" s="533" t="s">
        <v>11</v>
      </c>
      <c r="C30" s="526" t="s">
        <v>358</v>
      </c>
      <c r="D30" s="459" t="s">
        <v>443</v>
      </c>
      <c r="E30" s="457"/>
      <c r="F30" s="533" t="s">
        <v>11</v>
      </c>
      <c r="G30" s="150" t="s">
        <v>15</v>
      </c>
      <c r="H30" s="165" t="s">
        <v>444</v>
      </c>
      <c r="I30" s="503"/>
      <c r="K30" s="172"/>
      <c r="L30" s="173"/>
    </row>
    <row r="31" spans="1:12" ht="21">
      <c r="A31" s="478"/>
      <c r="B31" s="534"/>
      <c r="C31" s="511"/>
      <c r="D31" s="460"/>
      <c r="E31" s="458"/>
      <c r="F31" s="534"/>
      <c r="G31" s="26" t="s">
        <v>19</v>
      </c>
      <c r="H31" s="137" t="s">
        <v>445</v>
      </c>
      <c r="I31" s="504"/>
      <c r="K31" s="174"/>
      <c r="L31" s="34"/>
    </row>
    <row r="32" spans="1:12" ht="21">
      <c r="A32" s="478"/>
      <c r="B32" s="534"/>
      <c r="C32" s="511"/>
      <c r="D32" s="460"/>
      <c r="E32" s="458"/>
      <c r="F32" s="534"/>
      <c r="G32" s="26" t="s">
        <v>24</v>
      </c>
      <c r="H32" s="137" t="s">
        <v>446</v>
      </c>
      <c r="I32" s="505"/>
      <c r="K32" s="174"/>
      <c r="L32" s="34"/>
    </row>
    <row r="33" spans="1:12" ht="30" customHeight="1">
      <c r="A33" s="478"/>
      <c r="B33" s="534"/>
      <c r="C33" s="511"/>
      <c r="D33" s="460"/>
      <c r="E33" s="458"/>
      <c r="F33" s="534"/>
      <c r="G33" s="528" t="s">
        <v>36</v>
      </c>
      <c r="H33" s="453" t="s">
        <v>447</v>
      </c>
      <c r="I33" s="506"/>
      <c r="K33" s="174"/>
      <c r="L33" s="34"/>
    </row>
    <row r="34" spans="1:12" ht="21">
      <c r="A34" s="478"/>
      <c r="B34" s="535"/>
      <c r="C34" s="527"/>
      <c r="D34" s="454"/>
      <c r="E34" s="456"/>
      <c r="F34" s="535"/>
      <c r="G34" s="529"/>
      <c r="H34" s="460"/>
      <c r="I34" s="505"/>
      <c r="K34" s="174"/>
      <c r="L34" s="34"/>
    </row>
    <row r="35" spans="1:12" ht="26">
      <c r="A35" s="478"/>
      <c r="B35" s="494" t="s">
        <v>14</v>
      </c>
      <c r="C35" s="510" t="s">
        <v>358</v>
      </c>
      <c r="D35" s="453" t="s">
        <v>448</v>
      </c>
      <c r="E35" s="455"/>
      <c r="F35" s="494" t="s">
        <v>14</v>
      </c>
      <c r="G35" s="26" t="s">
        <v>15</v>
      </c>
      <c r="H35" s="137" t="s">
        <v>444</v>
      </c>
      <c r="I35" s="394"/>
      <c r="K35" s="174"/>
      <c r="L35" s="34"/>
    </row>
    <row r="36" spans="1:12" ht="21">
      <c r="A36" s="478"/>
      <c r="B36" s="495"/>
      <c r="C36" s="511"/>
      <c r="D36" s="460"/>
      <c r="E36" s="458"/>
      <c r="F36" s="495"/>
      <c r="G36" s="26" t="s">
        <v>19</v>
      </c>
      <c r="H36" s="137" t="s">
        <v>445</v>
      </c>
      <c r="I36" s="397"/>
      <c r="K36" s="174"/>
      <c r="L36" s="34"/>
    </row>
    <row r="37" spans="1:12" ht="21">
      <c r="A37" s="478"/>
      <c r="B37" s="495"/>
      <c r="C37" s="511"/>
      <c r="D37" s="460"/>
      <c r="E37" s="458"/>
      <c r="F37" s="495"/>
      <c r="G37" s="26" t="s">
        <v>24</v>
      </c>
      <c r="H37" s="102" t="s">
        <v>449</v>
      </c>
      <c r="I37" s="397"/>
      <c r="K37" s="174"/>
      <c r="L37" s="34"/>
    </row>
    <row r="38" spans="1:12" ht="21">
      <c r="A38" s="478"/>
      <c r="B38" s="496"/>
      <c r="C38" s="527"/>
      <c r="D38" s="454"/>
      <c r="E38" s="456"/>
      <c r="F38" s="496"/>
      <c r="G38" s="26" t="s">
        <v>36</v>
      </c>
      <c r="H38" s="102" t="s">
        <v>450</v>
      </c>
      <c r="I38" s="398"/>
      <c r="K38" s="174"/>
      <c r="L38" s="34"/>
    </row>
    <row r="39" spans="1:12" ht="26">
      <c r="A39" s="478"/>
      <c r="B39" s="536" t="s">
        <v>17</v>
      </c>
      <c r="C39" s="510" t="s">
        <v>358</v>
      </c>
      <c r="D39" s="453" t="s">
        <v>451</v>
      </c>
      <c r="E39" s="455"/>
      <c r="F39" s="536" t="s">
        <v>17</v>
      </c>
      <c r="G39" s="26" t="s">
        <v>15</v>
      </c>
      <c r="H39" s="102" t="s">
        <v>452</v>
      </c>
      <c r="I39" s="394"/>
      <c r="K39" s="174"/>
      <c r="L39" s="34"/>
    </row>
    <row r="40" spans="1:12" ht="21">
      <c r="A40" s="478"/>
      <c r="B40" s="537"/>
      <c r="C40" s="511"/>
      <c r="D40" s="460"/>
      <c r="E40" s="458"/>
      <c r="F40" s="537"/>
      <c r="G40" s="26" t="s">
        <v>19</v>
      </c>
      <c r="H40" s="102" t="s">
        <v>453</v>
      </c>
      <c r="I40" s="397"/>
      <c r="K40" s="174"/>
      <c r="L40" s="34"/>
    </row>
    <row r="41" spans="1:12" ht="21">
      <c r="A41" s="478"/>
      <c r="B41" s="537"/>
      <c r="C41" s="511"/>
      <c r="D41" s="460"/>
      <c r="E41" s="458"/>
      <c r="F41" s="537"/>
      <c r="G41" s="26" t="s">
        <v>24</v>
      </c>
      <c r="H41" s="102" t="s">
        <v>454</v>
      </c>
      <c r="I41" s="397"/>
      <c r="K41" s="174"/>
      <c r="L41" s="34"/>
    </row>
    <row r="42" spans="1:12" ht="21">
      <c r="A42" s="478"/>
      <c r="B42" s="538"/>
      <c r="C42" s="527"/>
      <c r="D42" s="454"/>
      <c r="E42" s="456"/>
      <c r="F42" s="538"/>
      <c r="G42" s="26" t="s">
        <v>36</v>
      </c>
      <c r="H42" s="102" t="s">
        <v>455</v>
      </c>
      <c r="I42" s="398"/>
      <c r="K42" s="174"/>
      <c r="L42" s="34"/>
    </row>
    <row r="43" spans="1:12" ht="30" customHeight="1">
      <c r="A43" s="478"/>
      <c r="B43" s="539" t="s">
        <v>22</v>
      </c>
      <c r="C43" s="510" t="s">
        <v>358</v>
      </c>
      <c r="D43" s="453" t="s">
        <v>456</v>
      </c>
      <c r="E43" s="455"/>
      <c r="F43" s="539" t="s">
        <v>22</v>
      </c>
      <c r="G43" s="26" t="s">
        <v>15</v>
      </c>
      <c r="H43" s="102" t="s">
        <v>457</v>
      </c>
      <c r="I43" s="394"/>
      <c r="K43" s="174"/>
      <c r="L43" s="34"/>
    </row>
    <row r="44" spans="1:12" ht="27.75" customHeight="1">
      <c r="A44" s="478"/>
      <c r="B44" s="540"/>
      <c r="C44" s="527"/>
      <c r="D44" s="454"/>
      <c r="E44" s="456"/>
      <c r="F44" s="540"/>
      <c r="G44" s="26" t="s">
        <v>19</v>
      </c>
      <c r="H44" s="102" t="s">
        <v>458</v>
      </c>
      <c r="I44" s="398"/>
      <c r="K44" s="174"/>
      <c r="L44" s="34"/>
    </row>
    <row r="45" spans="1:12" ht="26">
      <c r="A45" s="478"/>
      <c r="B45" s="489" t="s">
        <v>26</v>
      </c>
      <c r="C45" s="510" t="s">
        <v>358</v>
      </c>
      <c r="D45" s="515" t="s">
        <v>459</v>
      </c>
      <c r="E45" s="455"/>
      <c r="F45" s="489" t="s">
        <v>26</v>
      </c>
      <c r="G45" s="26" t="s">
        <v>15</v>
      </c>
      <c r="H45" s="137" t="s">
        <v>460</v>
      </c>
      <c r="I45" s="394"/>
      <c r="K45" s="174"/>
      <c r="L45" s="34"/>
    </row>
    <row r="46" spans="1:12">
      <c r="A46" s="479"/>
      <c r="B46" s="490"/>
      <c r="C46" s="512"/>
      <c r="D46" s="545"/>
      <c r="E46" s="500"/>
      <c r="F46" s="490"/>
      <c r="G46" s="29" t="s">
        <v>19</v>
      </c>
      <c r="H46" s="25" t="s">
        <v>461</v>
      </c>
      <c r="I46" s="395"/>
    </row>
    <row r="47" spans="1:12" ht="15" customHeight="1">
      <c r="A47" s="483" t="s">
        <v>3</v>
      </c>
      <c r="B47" s="484"/>
      <c r="C47" s="484"/>
      <c r="D47" s="484"/>
      <c r="E47" s="484"/>
      <c r="F47" s="484"/>
      <c r="G47" s="484"/>
      <c r="H47" s="484"/>
      <c r="I47" s="485"/>
    </row>
    <row r="48" spans="1:12">
      <c r="A48" s="290"/>
      <c r="B48" s="291"/>
      <c r="C48" s="291"/>
      <c r="D48" s="291"/>
      <c r="E48" s="291"/>
      <c r="F48" s="291"/>
      <c r="G48" s="291"/>
      <c r="H48" s="291"/>
      <c r="I48" s="292"/>
    </row>
    <row r="49" spans="1:12" ht="26">
      <c r="A49" s="477" t="s">
        <v>462</v>
      </c>
      <c r="B49" s="491" t="s">
        <v>11</v>
      </c>
      <c r="C49" s="150" t="s">
        <v>15</v>
      </c>
      <c r="D49" s="165" t="s">
        <v>463</v>
      </c>
      <c r="E49" s="133"/>
      <c r="F49" s="491" t="s">
        <v>11</v>
      </c>
      <c r="G49" s="150" t="s">
        <v>15</v>
      </c>
      <c r="H49" s="142" t="s">
        <v>464</v>
      </c>
      <c r="I49" s="396"/>
      <c r="K49" s="175"/>
      <c r="L49" s="173"/>
    </row>
    <row r="50" spans="1:12" ht="26">
      <c r="A50" s="478"/>
      <c r="B50" s="492"/>
      <c r="C50" s="528" t="s">
        <v>19</v>
      </c>
      <c r="D50" s="515" t="s">
        <v>465</v>
      </c>
      <c r="E50" s="455"/>
      <c r="F50" s="492"/>
      <c r="G50" s="26" t="s">
        <v>19</v>
      </c>
      <c r="H50" s="102" t="s">
        <v>466</v>
      </c>
      <c r="I50" s="397"/>
    </row>
    <row r="51" spans="1:12" ht="15.75" customHeight="1">
      <c r="A51" s="478"/>
      <c r="B51" s="492"/>
      <c r="C51" s="530"/>
      <c r="D51" s="515"/>
      <c r="E51" s="458"/>
      <c r="F51" s="492"/>
      <c r="G51" s="26" t="s">
        <v>24</v>
      </c>
      <c r="H51" s="102" t="s">
        <v>56</v>
      </c>
      <c r="I51" s="397"/>
    </row>
    <row r="52" spans="1:12" ht="15.75" customHeight="1">
      <c r="A52" s="478"/>
      <c r="B52" s="492"/>
      <c r="C52" s="530"/>
      <c r="D52" s="515"/>
      <c r="E52" s="458"/>
      <c r="F52" s="492"/>
      <c r="G52" s="26" t="s">
        <v>36</v>
      </c>
      <c r="H52" s="102" t="s">
        <v>210</v>
      </c>
      <c r="I52" s="397"/>
    </row>
    <row r="53" spans="1:12" ht="15.75" customHeight="1">
      <c r="A53" s="478"/>
      <c r="B53" s="492"/>
      <c r="C53" s="530"/>
      <c r="D53" s="515"/>
      <c r="E53" s="458"/>
      <c r="F53" s="492"/>
      <c r="G53" s="26" t="s">
        <v>61</v>
      </c>
      <c r="H53" s="102" t="s">
        <v>467</v>
      </c>
      <c r="I53" s="398"/>
    </row>
    <row r="54" spans="1:12" ht="26">
      <c r="A54" s="478"/>
      <c r="B54" s="525" t="s">
        <v>14</v>
      </c>
      <c r="C54" s="510" t="s">
        <v>358</v>
      </c>
      <c r="D54" s="515" t="s">
        <v>468</v>
      </c>
      <c r="E54" s="455"/>
      <c r="F54" s="525" t="s">
        <v>14</v>
      </c>
      <c r="G54" s="26" t="s">
        <v>15</v>
      </c>
      <c r="H54" s="102" t="s">
        <v>469</v>
      </c>
      <c r="I54" s="394"/>
    </row>
    <row r="55" spans="1:12" ht="26">
      <c r="A55" s="478"/>
      <c r="B55" s="525"/>
      <c r="C55" s="511"/>
      <c r="D55" s="515"/>
      <c r="E55" s="458"/>
      <c r="F55" s="525"/>
      <c r="G55" s="26" t="s">
        <v>19</v>
      </c>
      <c r="H55" s="102" t="s">
        <v>466</v>
      </c>
      <c r="I55" s="397"/>
    </row>
    <row r="56" spans="1:12" ht="15.75" customHeight="1">
      <c r="A56" s="478"/>
      <c r="B56" s="525"/>
      <c r="C56" s="511"/>
      <c r="D56" s="515"/>
      <c r="E56" s="458"/>
      <c r="F56" s="525"/>
      <c r="G56" s="26" t="s">
        <v>24</v>
      </c>
      <c r="H56" s="102" t="s">
        <v>311</v>
      </c>
      <c r="I56" s="397"/>
    </row>
    <row r="57" spans="1:12" ht="15.75" customHeight="1">
      <c r="A57" s="478"/>
      <c r="B57" s="525"/>
      <c r="C57" s="527"/>
      <c r="D57" s="515"/>
      <c r="E57" s="456"/>
      <c r="F57" s="525"/>
      <c r="G57" s="26" t="s">
        <v>36</v>
      </c>
      <c r="H57" s="102" t="s">
        <v>470</v>
      </c>
      <c r="I57" s="398"/>
    </row>
    <row r="58" spans="1:12" ht="26">
      <c r="A58" s="478"/>
      <c r="B58" s="497" t="s">
        <v>17</v>
      </c>
      <c r="C58" s="510" t="s">
        <v>358</v>
      </c>
      <c r="D58" s="515" t="s">
        <v>468</v>
      </c>
      <c r="E58" s="455"/>
      <c r="F58" s="497" t="s">
        <v>17</v>
      </c>
      <c r="G58" s="26" t="s">
        <v>15</v>
      </c>
      <c r="H58" s="102" t="s">
        <v>466</v>
      </c>
      <c r="I58" s="394"/>
    </row>
    <row r="59" spans="1:12" ht="15.75" customHeight="1">
      <c r="A59" s="478"/>
      <c r="B59" s="497"/>
      <c r="C59" s="511"/>
      <c r="D59" s="515"/>
      <c r="E59" s="458"/>
      <c r="F59" s="497"/>
      <c r="G59" s="26" t="s">
        <v>19</v>
      </c>
      <c r="H59" s="102" t="s">
        <v>311</v>
      </c>
      <c r="I59" s="397"/>
    </row>
    <row r="60" spans="1:12" ht="15.75" customHeight="1">
      <c r="A60" s="478"/>
      <c r="B60" s="497"/>
      <c r="C60" s="511"/>
      <c r="D60" s="515"/>
      <c r="E60" s="458"/>
      <c r="F60" s="497"/>
      <c r="G60" s="26" t="s">
        <v>24</v>
      </c>
      <c r="H60" s="102" t="s">
        <v>471</v>
      </c>
      <c r="I60" s="397"/>
    </row>
    <row r="61" spans="1:12" ht="15.75" customHeight="1">
      <c r="A61" s="478"/>
      <c r="B61" s="497"/>
      <c r="C61" s="527"/>
      <c r="D61" s="515"/>
      <c r="E61" s="456"/>
      <c r="F61" s="497"/>
      <c r="G61" s="26" t="s">
        <v>36</v>
      </c>
      <c r="H61" s="102" t="s">
        <v>472</v>
      </c>
      <c r="I61" s="398"/>
    </row>
    <row r="62" spans="1:12" ht="65.25" customHeight="1">
      <c r="A62" s="478"/>
      <c r="B62" s="154" t="s">
        <v>22</v>
      </c>
      <c r="C62" s="166" t="s">
        <v>358</v>
      </c>
      <c r="D62" s="102" t="s">
        <v>468</v>
      </c>
      <c r="E62" s="126"/>
      <c r="F62" s="154" t="s">
        <v>22</v>
      </c>
      <c r="G62" s="167" t="s">
        <v>358</v>
      </c>
      <c r="H62" s="168" t="s">
        <v>473</v>
      </c>
      <c r="I62" s="176"/>
    </row>
    <row r="63" spans="1:12" ht="62.25" customHeight="1">
      <c r="A63" s="479"/>
      <c r="B63" s="155" t="s">
        <v>26</v>
      </c>
      <c r="C63" s="169" t="s">
        <v>358</v>
      </c>
      <c r="D63" s="144" t="s">
        <v>468</v>
      </c>
      <c r="E63" s="131"/>
      <c r="F63" s="155" t="s">
        <v>26</v>
      </c>
      <c r="G63" s="169" t="s">
        <v>358</v>
      </c>
      <c r="H63" s="170" t="s">
        <v>474</v>
      </c>
      <c r="I63" s="177"/>
    </row>
    <row r="64" spans="1:12" ht="15" customHeight="1">
      <c r="A64" s="480" t="s">
        <v>3</v>
      </c>
      <c r="B64" s="481"/>
      <c r="C64" s="481"/>
      <c r="D64" s="481"/>
      <c r="E64" s="481"/>
      <c r="F64" s="481"/>
      <c r="G64" s="481"/>
      <c r="H64" s="481"/>
      <c r="I64" s="482"/>
    </row>
    <row r="65" spans="1:12">
      <c r="A65" s="290"/>
      <c r="B65" s="291"/>
      <c r="C65" s="291"/>
      <c r="D65" s="291"/>
      <c r="E65" s="291"/>
      <c r="F65" s="291"/>
      <c r="G65" s="291"/>
      <c r="H65" s="291"/>
      <c r="I65" s="292"/>
    </row>
    <row r="66" spans="1:12" ht="15.75" customHeight="1">
      <c r="A66" s="477" t="s">
        <v>475</v>
      </c>
      <c r="B66" s="491" t="s">
        <v>11</v>
      </c>
      <c r="C66" s="550" t="s">
        <v>15</v>
      </c>
      <c r="D66" s="546" t="s">
        <v>476</v>
      </c>
      <c r="E66" s="543"/>
      <c r="F66" s="491" t="s">
        <v>11</v>
      </c>
      <c r="G66" s="150" t="s">
        <v>15</v>
      </c>
      <c r="H66" s="178" t="s">
        <v>477</v>
      </c>
      <c r="I66" s="487"/>
      <c r="K66" s="37"/>
      <c r="L66" s="173"/>
    </row>
    <row r="67" spans="1:12" ht="15.75" customHeight="1">
      <c r="A67" s="478"/>
      <c r="B67" s="492"/>
      <c r="C67" s="549"/>
      <c r="D67" s="523"/>
      <c r="E67" s="544"/>
      <c r="F67" s="492"/>
      <c r="G67" s="26" t="s">
        <v>19</v>
      </c>
      <c r="H67" s="179" t="s">
        <v>56</v>
      </c>
      <c r="I67" s="399"/>
      <c r="K67" s="37"/>
      <c r="L67" s="173"/>
    </row>
    <row r="68" spans="1:12" ht="15.75" customHeight="1">
      <c r="A68" s="478"/>
      <c r="B68" s="492"/>
      <c r="C68" s="548"/>
      <c r="D68" s="542"/>
      <c r="E68" s="499"/>
      <c r="F68" s="492"/>
      <c r="G68" s="26" t="s">
        <v>24</v>
      </c>
      <c r="H68" s="179" t="s">
        <v>210</v>
      </c>
      <c r="I68" s="399"/>
    </row>
    <row r="69" spans="1:12" ht="15.75" customHeight="1">
      <c r="A69" s="478"/>
      <c r="B69" s="492"/>
      <c r="C69" s="547" t="s">
        <v>19</v>
      </c>
      <c r="D69" s="541" t="s">
        <v>478</v>
      </c>
      <c r="E69" s="544"/>
      <c r="F69" s="492"/>
      <c r="G69" s="26" t="s">
        <v>36</v>
      </c>
      <c r="H69" s="179" t="s">
        <v>479</v>
      </c>
      <c r="I69" s="399"/>
    </row>
    <row r="70" spans="1:12" ht="15.75" customHeight="1">
      <c r="A70" s="478"/>
      <c r="B70" s="492"/>
      <c r="C70" s="549"/>
      <c r="D70" s="523"/>
      <c r="E70" s="544"/>
      <c r="F70" s="492"/>
      <c r="G70" s="26" t="s">
        <v>61</v>
      </c>
      <c r="H70" s="179" t="s">
        <v>480</v>
      </c>
      <c r="I70" s="399"/>
    </row>
    <row r="71" spans="1:12" ht="15.75" customHeight="1">
      <c r="A71" s="478"/>
      <c r="B71" s="492"/>
      <c r="C71" s="548"/>
      <c r="D71" s="542"/>
      <c r="E71" s="499"/>
      <c r="F71" s="492"/>
      <c r="G71" s="26" t="s">
        <v>80</v>
      </c>
      <c r="H71" s="179" t="s">
        <v>481</v>
      </c>
      <c r="I71" s="488"/>
    </row>
    <row r="72" spans="1:12">
      <c r="A72" s="478"/>
      <c r="B72" s="525" t="s">
        <v>14</v>
      </c>
      <c r="C72" s="547" t="s">
        <v>15</v>
      </c>
      <c r="D72" s="541" t="s">
        <v>482</v>
      </c>
      <c r="E72" s="498"/>
      <c r="F72" s="525" t="s">
        <v>14</v>
      </c>
      <c r="G72" s="26" t="s">
        <v>15</v>
      </c>
      <c r="H72" s="180" t="s">
        <v>477</v>
      </c>
      <c r="I72" s="486"/>
    </row>
    <row r="73" spans="1:12" ht="15.75" customHeight="1">
      <c r="A73" s="478"/>
      <c r="B73" s="525"/>
      <c r="C73" s="548"/>
      <c r="D73" s="542"/>
      <c r="E73" s="499"/>
      <c r="F73" s="525"/>
      <c r="G73" s="26" t="s">
        <v>19</v>
      </c>
      <c r="H73" s="179" t="s">
        <v>56</v>
      </c>
      <c r="I73" s="399"/>
    </row>
    <row r="74" spans="1:12" ht="15.75" customHeight="1">
      <c r="A74" s="478"/>
      <c r="B74" s="525"/>
      <c r="C74" s="547" t="s">
        <v>19</v>
      </c>
      <c r="D74" s="541" t="s">
        <v>483</v>
      </c>
      <c r="E74" s="498"/>
      <c r="F74" s="525"/>
      <c r="G74" s="26" t="s">
        <v>24</v>
      </c>
      <c r="H74" s="179" t="s">
        <v>470</v>
      </c>
      <c r="I74" s="399"/>
    </row>
    <row r="75" spans="1:12" ht="15.75" customHeight="1">
      <c r="A75" s="478"/>
      <c r="B75" s="525"/>
      <c r="C75" s="549"/>
      <c r="D75" s="523"/>
      <c r="E75" s="544"/>
      <c r="F75" s="525"/>
      <c r="G75" s="26" t="s">
        <v>36</v>
      </c>
      <c r="H75" s="179" t="s">
        <v>480</v>
      </c>
      <c r="I75" s="399"/>
    </row>
    <row r="76" spans="1:12" ht="15.75" customHeight="1">
      <c r="A76" s="478"/>
      <c r="B76" s="525"/>
      <c r="C76" s="548"/>
      <c r="D76" s="542"/>
      <c r="E76" s="499"/>
      <c r="F76" s="525"/>
      <c r="G76" s="26" t="s">
        <v>61</v>
      </c>
      <c r="H76" s="179" t="s">
        <v>481</v>
      </c>
      <c r="I76" s="488"/>
    </row>
    <row r="77" spans="1:12">
      <c r="A77" s="478"/>
      <c r="B77" s="497" t="s">
        <v>17</v>
      </c>
      <c r="C77" s="528" t="s">
        <v>15</v>
      </c>
      <c r="D77" s="541" t="s">
        <v>484</v>
      </c>
      <c r="E77" s="498"/>
      <c r="F77" s="497" t="s">
        <v>17</v>
      </c>
      <c r="G77" s="26" t="s">
        <v>15</v>
      </c>
      <c r="H77" s="180" t="s">
        <v>477</v>
      </c>
      <c r="I77" s="486"/>
    </row>
    <row r="78" spans="1:12" ht="15.75" customHeight="1">
      <c r="A78" s="478"/>
      <c r="B78" s="497"/>
      <c r="C78" s="530"/>
      <c r="D78" s="523"/>
      <c r="E78" s="544"/>
      <c r="F78" s="497"/>
      <c r="G78" s="26" t="s">
        <v>19</v>
      </c>
      <c r="H78" s="179" t="s">
        <v>56</v>
      </c>
      <c r="I78" s="399"/>
    </row>
    <row r="79" spans="1:12" ht="15.75" customHeight="1">
      <c r="A79" s="478"/>
      <c r="B79" s="497"/>
      <c r="C79" s="529"/>
      <c r="D79" s="542"/>
      <c r="E79" s="499"/>
      <c r="F79" s="497"/>
      <c r="G79" s="26" t="s">
        <v>24</v>
      </c>
      <c r="H79" s="179" t="s">
        <v>471</v>
      </c>
      <c r="I79" s="399"/>
    </row>
    <row r="80" spans="1:12" ht="15.75" customHeight="1">
      <c r="A80" s="478"/>
      <c r="B80" s="497"/>
      <c r="C80" s="528" t="s">
        <v>19</v>
      </c>
      <c r="D80" s="541" t="s">
        <v>485</v>
      </c>
      <c r="E80" s="498"/>
      <c r="F80" s="497"/>
      <c r="G80" s="26" t="s">
        <v>36</v>
      </c>
      <c r="H80" s="179" t="s">
        <v>486</v>
      </c>
      <c r="I80" s="399"/>
    </row>
    <row r="81" spans="1:12" ht="15.75" customHeight="1">
      <c r="A81" s="478"/>
      <c r="B81" s="497"/>
      <c r="C81" s="529"/>
      <c r="D81" s="542"/>
      <c r="E81" s="499"/>
      <c r="F81" s="497"/>
      <c r="G81" s="26" t="s">
        <v>61</v>
      </c>
      <c r="H81" s="179" t="s">
        <v>481</v>
      </c>
      <c r="I81" s="488"/>
    </row>
    <row r="82" spans="1:12" ht="15.75" customHeight="1">
      <c r="A82" s="478"/>
      <c r="B82" s="493" t="s">
        <v>22</v>
      </c>
      <c r="C82" s="26" t="s">
        <v>15</v>
      </c>
      <c r="D82" s="179" t="s">
        <v>487</v>
      </c>
      <c r="E82" s="498"/>
      <c r="F82" s="493" t="s">
        <v>22</v>
      </c>
      <c r="G82" s="26" t="s">
        <v>15</v>
      </c>
      <c r="H82" s="181" t="s">
        <v>473</v>
      </c>
      <c r="I82" s="486"/>
    </row>
    <row r="83" spans="1:12" ht="31.5" customHeight="1">
      <c r="A83" s="478"/>
      <c r="B83" s="493"/>
      <c r="C83" s="26" t="s">
        <v>19</v>
      </c>
      <c r="D83" s="179" t="s">
        <v>488</v>
      </c>
      <c r="E83" s="499"/>
      <c r="F83" s="493"/>
      <c r="G83" s="26" t="s">
        <v>19</v>
      </c>
      <c r="H83" s="179" t="s">
        <v>481</v>
      </c>
      <c r="I83" s="488"/>
    </row>
    <row r="84" spans="1:12">
      <c r="A84" s="478"/>
      <c r="B84" s="489" t="s">
        <v>26</v>
      </c>
      <c r="C84" s="26" t="s">
        <v>15</v>
      </c>
      <c r="D84" s="179" t="s">
        <v>489</v>
      </c>
      <c r="E84" s="498"/>
      <c r="F84" s="489" t="s">
        <v>26</v>
      </c>
      <c r="G84" s="26" t="s">
        <v>15</v>
      </c>
      <c r="H84" s="179" t="s">
        <v>490</v>
      </c>
      <c r="I84" s="486"/>
    </row>
    <row r="85" spans="1:12" ht="32.25" customHeight="1">
      <c r="A85" s="479"/>
      <c r="B85" s="490"/>
      <c r="C85" s="29" t="s">
        <v>19</v>
      </c>
      <c r="D85" s="182" t="s">
        <v>491</v>
      </c>
      <c r="E85" s="500"/>
      <c r="F85" s="490"/>
      <c r="G85" s="29" t="s">
        <v>19</v>
      </c>
      <c r="H85" s="179" t="s">
        <v>481</v>
      </c>
      <c r="I85" s="395"/>
    </row>
    <row r="86" spans="1:12" ht="15" customHeight="1">
      <c r="A86" s="483" t="s">
        <v>492</v>
      </c>
      <c r="B86" s="484"/>
      <c r="C86" s="484"/>
      <c r="D86" s="484"/>
      <c r="E86" s="484"/>
      <c r="F86" s="484"/>
      <c r="G86" s="484"/>
      <c r="H86" s="484"/>
      <c r="I86" s="485"/>
    </row>
    <row r="87" spans="1:12">
      <c r="A87" s="290"/>
      <c r="B87" s="291"/>
      <c r="C87" s="291"/>
      <c r="D87" s="291"/>
      <c r="E87" s="291"/>
      <c r="F87" s="291"/>
      <c r="G87" s="291"/>
      <c r="H87" s="291"/>
      <c r="I87" s="292"/>
    </row>
    <row r="88" spans="1:12" ht="30" customHeight="1">
      <c r="A88" s="477" t="s">
        <v>493</v>
      </c>
      <c r="B88" s="491" t="s">
        <v>11</v>
      </c>
      <c r="C88" s="150" t="s">
        <v>15</v>
      </c>
      <c r="D88" s="142" t="s">
        <v>494</v>
      </c>
      <c r="E88" s="133"/>
      <c r="F88" s="491" t="s">
        <v>11</v>
      </c>
      <c r="G88" s="150" t="s">
        <v>15</v>
      </c>
      <c r="H88" s="142" t="s">
        <v>495</v>
      </c>
      <c r="I88" s="396"/>
      <c r="K88" s="37"/>
      <c r="L88" s="173"/>
    </row>
    <row r="89" spans="1:12" ht="26">
      <c r="A89" s="478"/>
      <c r="B89" s="492"/>
      <c r="C89" s="26" t="s">
        <v>19</v>
      </c>
      <c r="D89" s="102" t="s">
        <v>496</v>
      </c>
      <c r="E89" s="126"/>
      <c r="F89" s="492"/>
      <c r="G89" s="528" t="s">
        <v>19</v>
      </c>
      <c r="H89" s="453" t="s">
        <v>497</v>
      </c>
      <c r="I89" s="397"/>
    </row>
    <row r="90" spans="1:12" ht="15.75" customHeight="1">
      <c r="A90" s="478"/>
      <c r="B90" s="492"/>
      <c r="C90" s="26" t="s">
        <v>24</v>
      </c>
      <c r="D90" s="102" t="s">
        <v>498</v>
      </c>
      <c r="E90" s="126"/>
      <c r="F90" s="492"/>
      <c r="G90" s="529"/>
      <c r="H90" s="454"/>
      <c r="I90" s="398"/>
    </row>
    <row r="91" spans="1:12" ht="48.75" customHeight="1">
      <c r="A91" s="478"/>
      <c r="B91" s="152" t="s">
        <v>14</v>
      </c>
      <c r="C91" s="166" t="s">
        <v>358</v>
      </c>
      <c r="D91" s="102" t="s">
        <v>499</v>
      </c>
      <c r="E91" s="126"/>
      <c r="F91" s="152" t="s">
        <v>14</v>
      </c>
      <c r="G91" s="26"/>
      <c r="H91" s="137"/>
      <c r="I91" s="176"/>
    </row>
    <row r="92" spans="1:12" ht="61.5" customHeight="1">
      <c r="A92" s="478"/>
      <c r="B92" s="153" t="s">
        <v>17</v>
      </c>
      <c r="C92" s="166" t="s">
        <v>358</v>
      </c>
      <c r="D92" s="102" t="s">
        <v>500</v>
      </c>
      <c r="E92" s="126"/>
      <c r="F92" s="153" t="s">
        <v>17</v>
      </c>
      <c r="G92" s="26"/>
      <c r="H92" s="102"/>
      <c r="I92" s="176"/>
    </row>
    <row r="93" spans="1:12" ht="15.75" customHeight="1">
      <c r="A93" s="478"/>
      <c r="B93" s="493" t="s">
        <v>22</v>
      </c>
      <c r="C93" s="510" t="s">
        <v>358</v>
      </c>
      <c r="D93" s="515" t="s">
        <v>501</v>
      </c>
      <c r="E93" s="455"/>
      <c r="F93" s="493" t="s">
        <v>22</v>
      </c>
      <c r="G93" s="528"/>
      <c r="H93" s="515"/>
      <c r="I93" s="394"/>
    </row>
    <row r="94" spans="1:12" ht="42.75" customHeight="1">
      <c r="A94" s="478"/>
      <c r="B94" s="493"/>
      <c r="C94" s="527"/>
      <c r="D94" s="515"/>
      <c r="E94" s="456"/>
      <c r="F94" s="493"/>
      <c r="G94" s="529"/>
      <c r="H94" s="515"/>
      <c r="I94" s="398"/>
    </row>
    <row r="95" spans="1:12" ht="26">
      <c r="A95" s="478"/>
      <c r="B95" s="489" t="s">
        <v>26</v>
      </c>
      <c r="C95" s="26" t="s">
        <v>15</v>
      </c>
      <c r="D95" s="102" t="s">
        <v>502</v>
      </c>
      <c r="E95" s="126"/>
      <c r="F95" s="489" t="s">
        <v>26</v>
      </c>
      <c r="G95" s="26" t="s">
        <v>15</v>
      </c>
      <c r="H95" s="102" t="s">
        <v>503</v>
      </c>
      <c r="I95" s="394"/>
    </row>
    <row r="96" spans="1:12" ht="26">
      <c r="A96" s="478"/>
      <c r="B96" s="489"/>
      <c r="C96" s="528" t="s">
        <v>19</v>
      </c>
      <c r="D96" s="453" t="s">
        <v>504</v>
      </c>
      <c r="E96" s="455"/>
      <c r="F96" s="489"/>
      <c r="G96" s="26" t="s">
        <v>19</v>
      </c>
      <c r="H96" s="179" t="s">
        <v>505</v>
      </c>
      <c r="I96" s="399"/>
    </row>
    <row r="97" spans="1:12" ht="26">
      <c r="A97" s="479"/>
      <c r="B97" s="490"/>
      <c r="C97" s="531"/>
      <c r="D97" s="422"/>
      <c r="E97" s="500"/>
      <c r="F97" s="490"/>
      <c r="G97" s="29" t="s">
        <v>24</v>
      </c>
      <c r="H97" s="182" t="s">
        <v>506</v>
      </c>
      <c r="I97" s="395"/>
    </row>
    <row r="98" spans="1:12" ht="15" customHeight="1">
      <c r="A98" s="480" t="s">
        <v>3</v>
      </c>
      <c r="B98" s="481"/>
      <c r="C98" s="481"/>
      <c r="D98" s="481"/>
      <c r="E98" s="481"/>
      <c r="F98" s="481"/>
      <c r="G98" s="481"/>
      <c r="H98" s="481"/>
      <c r="I98" s="482"/>
    </row>
    <row r="99" spans="1:12">
      <c r="A99" s="290"/>
      <c r="B99" s="291"/>
      <c r="C99" s="291"/>
      <c r="D99" s="291"/>
      <c r="E99" s="291"/>
      <c r="F99" s="291"/>
      <c r="G99" s="291"/>
      <c r="H99" s="291"/>
      <c r="I99" s="292"/>
    </row>
    <row r="100" spans="1:12" ht="30" customHeight="1">
      <c r="A100" s="477" t="s">
        <v>507</v>
      </c>
      <c r="B100" s="491" t="s">
        <v>11</v>
      </c>
      <c r="C100" s="150" t="s">
        <v>15</v>
      </c>
      <c r="D100" s="142" t="s">
        <v>508</v>
      </c>
      <c r="E100" s="133"/>
      <c r="F100" s="491" t="s">
        <v>11</v>
      </c>
      <c r="G100" s="150" t="s">
        <v>15</v>
      </c>
      <c r="H100" s="142" t="s">
        <v>509</v>
      </c>
      <c r="I100" s="396"/>
    </row>
    <row r="101" spans="1:12" ht="15.75" customHeight="1">
      <c r="A101" s="478"/>
      <c r="B101" s="492"/>
      <c r="C101" s="528" t="s">
        <v>19</v>
      </c>
      <c r="D101" s="453" t="s">
        <v>510</v>
      </c>
      <c r="E101" s="455"/>
      <c r="F101" s="492"/>
      <c r="G101" s="528" t="s">
        <v>19</v>
      </c>
      <c r="H101" s="518" t="s">
        <v>511</v>
      </c>
      <c r="I101" s="397"/>
    </row>
    <row r="102" spans="1:12" ht="15.75" customHeight="1">
      <c r="A102" s="478"/>
      <c r="B102" s="492"/>
      <c r="C102" s="529"/>
      <c r="D102" s="454"/>
      <c r="E102" s="456"/>
      <c r="F102" s="492"/>
      <c r="G102" s="529"/>
      <c r="H102" s="519"/>
      <c r="I102" s="397"/>
    </row>
    <row r="103" spans="1:12" ht="15.75" customHeight="1">
      <c r="A103" s="478"/>
      <c r="B103" s="492"/>
      <c r="C103" s="151" t="s">
        <v>24</v>
      </c>
      <c r="D103" s="95" t="s">
        <v>512</v>
      </c>
      <c r="E103" s="127"/>
      <c r="F103" s="492"/>
      <c r="G103" s="26" t="s">
        <v>36</v>
      </c>
      <c r="H103" s="137" t="s">
        <v>513</v>
      </c>
      <c r="I103" s="398"/>
    </row>
    <row r="104" spans="1:12" ht="30" customHeight="1">
      <c r="A104" s="478"/>
      <c r="B104" s="525" t="s">
        <v>14</v>
      </c>
      <c r="C104" s="26" t="s">
        <v>15</v>
      </c>
      <c r="D104" s="102" t="s">
        <v>514</v>
      </c>
      <c r="E104" s="126"/>
      <c r="F104" s="494" t="s">
        <v>14</v>
      </c>
      <c r="G104" s="528"/>
      <c r="H104" s="520"/>
      <c r="I104" s="394"/>
      <c r="K104" s="183"/>
      <c r="L104" s="184"/>
    </row>
    <row r="105" spans="1:12" ht="26">
      <c r="A105" s="478"/>
      <c r="B105" s="525"/>
      <c r="C105" s="26" t="s">
        <v>19</v>
      </c>
      <c r="D105" s="102" t="s">
        <v>515</v>
      </c>
      <c r="E105" s="126"/>
      <c r="F105" s="495"/>
      <c r="G105" s="530"/>
      <c r="H105" s="521"/>
      <c r="I105" s="397"/>
      <c r="K105" s="183"/>
      <c r="L105" s="185"/>
    </row>
    <row r="106" spans="1:12" ht="15.75" customHeight="1">
      <c r="A106" s="478"/>
      <c r="B106" s="525"/>
      <c r="C106" s="26" t="s">
        <v>24</v>
      </c>
      <c r="D106" s="102" t="s">
        <v>516</v>
      </c>
      <c r="E106" s="126"/>
      <c r="F106" s="495"/>
      <c r="G106" s="530"/>
      <c r="H106" s="521"/>
      <c r="I106" s="397"/>
      <c r="K106" s="183"/>
      <c r="L106" s="185"/>
    </row>
    <row r="107" spans="1:12" ht="26">
      <c r="A107" s="478"/>
      <c r="B107" s="525"/>
      <c r="C107" s="26" t="s">
        <v>36</v>
      </c>
      <c r="D107" s="102" t="s">
        <v>517</v>
      </c>
      <c r="E107" s="126"/>
      <c r="F107" s="495"/>
      <c r="G107" s="530"/>
      <c r="H107" s="521"/>
      <c r="I107" s="397"/>
      <c r="K107" s="183"/>
      <c r="L107" s="185"/>
    </row>
    <row r="108" spans="1:12" ht="15.75" customHeight="1">
      <c r="A108" s="478"/>
      <c r="B108" s="525"/>
      <c r="C108" s="151" t="s">
        <v>61</v>
      </c>
      <c r="D108" s="95" t="s">
        <v>518</v>
      </c>
      <c r="E108" s="127"/>
      <c r="F108" s="495"/>
      <c r="G108" s="530"/>
      <c r="H108" s="521"/>
      <c r="I108" s="397"/>
      <c r="K108" s="183"/>
      <c r="L108" s="185"/>
    </row>
    <row r="109" spans="1:12" ht="15.75" customHeight="1">
      <c r="A109" s="478"/>
      <c r="B109" s="525"/>
      <c r="C109" s="26" t="s">
        <v>80</v>
      </c>
      <c r="D109" s="102" t="s">
        <v>519</v>
      </c>
      <c r="E109" s="126"/>
      <c r="F109" s="496"/>
      <c r="G109" s="529"/>
      <c r="H109" s="522"/>
      <c r="I109" s="398"/>
      <c r="K109" s="183"/>
      <c r="L109" s="185"/>
    </row>
    <row r="110" spans="1:12" ht="26">
      <c r="A110" s="478"/>
      <c r="B110" s="497" t="s">
        <v>17</v>
      </c>
      <c r="C110" s="26" t="s">
        <v>15</v>
      </c>
      <c r="D110" s="102" t="s">
        <v>520</v>
      </c>
      <c r="E110" s="126"/>
      <c r="F110" s="497" t="s">
        <v>17</v>
      </c>
      <c r="G110" s="528"/>
      <c r="H110" s="515"/>
      <c r="I110" s="394"/>
    </row>
    <row r="111" spans="1:12" ht="26">
      <c r="A111" s="478"/>
      <c r="B111" s="497"/>
      <c r="C111" s="26" t="s">
        <v>19</v>
      </c>
      <c r="D111" s="102" t="s">
        <v>521</v>
      </c>
      <c r="E111" s="126"/>
      <c r="F111" s="497"/>
      <c r="G111" s="530"/>
      <c r="H111" s="515"/>
      <c r="I111" s="397"/>
    </row>
    <row r="112" spans="1:12">
      <c r="A112" s="478"/>
      <c r="B112" s="497"/>
      <c r="C112" s="26" t="s">
        <v>24</v>
      </c>
      <c r="D112" s="102" t="s">
        <v>522</v>
      </c>
      <c r="E112" s="126"/>
      <c r="F112" s="497"/>
      <c r="G112" s="530"/>
      <c r="H112" s="515"/>
      <c r="I112" s="397"/>
    </row>
    <row r="113" spans="1:9" ht="26">
      <c r="A113" s="478"/>
      <c r="B113" s="497"/>
      <c r="C113" s="26" t="s">
        <v>523</v>
      </c>
      <c r="D113" s="102" t="s">
        <v>524</v>
      </c>
      <c r="E113" s="126"/>
      <c r="F113" s="497"/>
      <c r="G113" s="530"/>
      <c r="H113" s="515"/>
      <c r="I113" s="397"/>
    </row>
    <row r="114" spans="1:9" ht="15.75" customHeight="1">
      <c r="A114" s="478"/>
      <c r="B114" s="497"/>
      <c r="C114" s="151" t="s">
        <v>61</v>
      </c>
      <c r="D114" s="95" t="s">
        <v>518</v>
      </c>
      <c r="E114" s="127"/>
      <c r="F114" s="497"/>
      <c r="G114" s="530"/>
      <c r="H114" s="515"/>
      <c r="I114" s="397"/>
    </row>
    <row r="115" spans="1:9" ht="15.75" customHeight="1">
      <c r="A115" s="478"/>
      <c r="B115" s="497"/>
      <c r="C115" s="26" t="s">
        <v>80</v>
      </c>
      <c r="D115" s="102" t="s">
        <v>519</v>
      </c>
      <c r="E115" s="126"/>
      <c r="F115" s="497"/>
      <c r="G115" s="529"/>
      <c r="H115" s="515"/>
      <c r="I115" s="398"/>
    </row>
    <row r="116" spans="1:9" ht="26">
      <c r="A116" s="478"/>
      <c r="B116" s="493" t="s">
        <v>22</v>
      </c>
      <c r="C116" s="26" t="s">
        <v>15</v>
      </c>
      <c r="D116" s="102" t="s">
        <v>525</v>
      </c>
      <c r="E116" s="126"/>
      <c r="F116" s="493" t="s">
        <v>22</v>
      </c>
      <c r="G116" s="528"/>
      <c r="H116" s="515"/>
      <c r="I116" s="394"/>
    </row>
    <row r="117" spans="1:9" ht="26">
      <c r="A117" s="478"/>
      <c r="B117" s="493"/>
      <c r="C117" s="26" t="s">
        <v>19</v>
      </c>
      <c r="D117" s="102" t="s">
        <v>526</v>
      </c>
      <c r="E117" s="126"/>
      <c r="F117" s="493"/>
      <c r="G117" s="530"/>
      <c r="H117" s="515"/>
      <c r="I117" s="397"/>
    </row>
    <row r="118" spans="1:9">
      <c r="A118" s="478"/>
      <c r="B118" s="493"/>
      <c r="C118" s="26" t="s">
        <v>24</v>
      </c>
      <c r="D118" s="102" t="s">
        <v>527</v>
      </c>
      <c r="E118" s="126"/>
      <c r="F118" s="493"/>
      <c r="G118" s="530"/>
      <c r="H118" s="515"/>
      <c r="I118" s="397"/>
    </row>
    <row r="119" spans="1:9" ht="26">
      <c r="A119" s="478"/>
      <c r="B119" s="493"/>
      <c r="C119" s="26" t="s">
        <v>523</v>
      </c>
      <c r="D119" s="102" t="s">
        <v>528</v>
      </c>
      <c r="E119" s="126"/>
      <c r="F119" s="493"/>
      <c r="G119" s="530"/>
      <c r="H119" s="515"/>
      <c r="I119" s="397"/>
    </row>
    <row r="120" spans="1:9" ht="15.75" customHeight="1">
      <c r="A120" s="478"/>
      <c r="B120" s="493"/>
      <c r="C120" s="26" t="s">
        <v>61</v>
      </c>
      <c r="D120" s="102" t="s">
        <v>518</v>
      </c>
      <c r="E120" s="126"/>
      <c r="F120" s="493"/>
      <c r="G120" s="530"/>
      <c r="H120" s="515"/>
      <c r="I120" s="397"/>
    </row>
    <row r="121" spans="1:9" ht="15.75" customHeight="1">
      <c r="A121" s="478"/>
      <c r="B121" s="493"/>
      <c r="C121" s="26" t="s">
        <v>80</v>
      </c>
      <c r="D121" s="102" t="s">
        <v>519</v>
      </c>
      <c r="E121" s="126"/>
      <c r="F121" s="493"/>
      <c r="G121" s="530"/>
      <c r="H121" s="515"/>
      <c r="I121" s="397"/>
    </row>
    <row r="122" spans="1:9" ht="15.75" customHeight="1">
      <c r="A122" s="478"/>
      <c r="B122" s="493"/>
      <c r="C122" s="26" t="s">
        <v>120</v>
      </c>
      <c r="D122" s="102" t="s">
        <v>529</v>
      </c>
      <c r="E122" s="126"/>
      <c r="F122" s="493"/>
      <c r="G122" s="529"/>
      <c r="H122" s="515"/>
      <c r="I122" s="398"/>
    </row>
    <row r="123" spans="1:9" ht="30" customHeight="1">
      <c r="A123" s="478"/>
      <c r="B123" s="489" t="s">
        <v>26</v>
      </c>
      <c r="C123" s="26" t="s">
        <v>15</v>
      </c>
      <c r="D123" s="102" t="s">
        <v>530</v>
      </c>
      <c r="E123" s="126"/>
      <c r="F123" s="489" t="s">
        <v>26</v>
      </c>
      <c r="G123" s="528" t="s">
        <v>15</v>
      </c>
      <c r="H123" s="453" t="s">
        <v>531</v>
      </c>
      <c r="I123" s="394"/>
    </row>
    <row r="124" spans="1:9" ht="26">
      <c r="A124" s="478"/>
      <c r="B124" s="489"/>
      <c r="C124" s="26" t="s">
        <v>19</v>
      </c>
      <c r="D124" s="102" t="s">
        <v>532</v>
      </c>
      <c r="E124" s="126"/>
      <c r="F124" s="489"/>
      <c r="G124" s="529"/>
      <c r="H124" s="454"/>
      <c r="I124" s="398"/>
    </row>
    <row r="125" spans="1:9" ht="30" customHeight="1">
      <c r="A125" s="478"/>
      <c r="B125" s="489"/>
      <c r="C125" s="26" t="s">
        <v>24</v>
      </c>
      <c r="D125" s="102" t="s">
        <v>533</v>
      </c>
      <c r="E125" s="126"/>
      <c r="F125" s="489"/>
      <c r="G125" s="528" t="s">
        <v>19</v>
      </c>
      <c r="H125" s="453" t="s">
        <v>534</v>
      </c>
      <c r="I125" s="394"/>
    </row>
    <row r="126" spans="1:9" ht="26">
      <c r="A126" s="478"/>
      <c r="B126" s="489"/>
      <c r="C126" s="26" t="s">
        <v>523</v>
      </c>
      <c r="D126" s="102" t="s">
        <v>535</v>
      </c>
      <c r="E126" s="126"/>
      <c r="F126" s="489"/>
      <c r="G126" s="529"/>
      <c r="H126" s="454"/>
      <c r="I126" s="398"/>
    </row>
    <row r="127" spans="1:9" ht="15.75" customHeight="1">
      <c r="A127" s="478"/>
      <c r="B127" s="489"/>
      <c r="C127" s="26" t="s">
        <v>61</v>
      </c>
      <c r="D127" s="102" t="s">
        <v>536</v>
      </c>
      <c r="E127" s="126"/>
      <c r="F127" s="489"/>
      <c r="G127" s="528" t="s">
        <v>24</v>
      </c>
      <c r="H127" s="453" t="s">
        <v>537</v>
      </c>
      <c r="I127" s="394"/>
    </row>
    <row r="128" spans="1:9" ht="15.75" customHeight="1">
      <c r="A128" s="478"/>
      <c r="B128" s="489"/>
      <c r="C128" s="26" t="s">
        <v>80</v>
      </c>
      <c r="D128" s="102" t="s">
        <v>538</v>
      </c>
      <c r="E128" s="126"/>
      <c r="F128" s="489"/>
      <c r="G128" s="530"/>
      <c r="H128" s="523"/>
      <c r="I128" s="399"/>
    </row>
    <row r="129" spans="1:12" ht="16.5" customHeight="1">
      <c r="A129" s="479"/>
      <c r="B129" s="490"/>
      <c r="C129" s="29" t="s">
        <v>120</v>
      </c>
      <c r="D129" s="144" t="s">
        <v>529</v>
      </c>
      <c r="E129" s="131"/>
      <c r="F129" s="490"/>
      <c r="G129" s="531"/>
      <c r="H129" s="524"/>
      <c r="I129" s="395"/>
    </row>
    <row r="130" spans="1:12" ht="21.75" customHeight="1">
      <c r="A130" s="480" t="s">
        <v>3</v>
      </c>
      <c r="B130" s="481"/>
      <c r="C130" s="481"/>
      <c r="D130" s="481"/>
      <c r="E130" s="481"/>
      <c r="F130" s="481"/>
      <c r="G130" s="481"/>
      <c r="H130" s="481"/>
      <c r="I130" s="482"/>
    </row>
    <row r="131" spans="1:12" ht="24.75" customHeight="1">
      <c r="A131" s="290"/>
      <c r="B131" s="291"/>
      <c r="C131" s="291"/>
      <c r="D131" s="291"/>
      <c r="E131" s="291"/>
      <c r="F131" s="291"/>
      <c r="G131" s="291"/>
      <c r="H131" s="291"/>
      <c r="I131" s="292"/>
    </row>
    <row r="132" spans="1:12" ht="30" customHeight="1">
      <c r="A132" s="477" t="s">
        <v>539</v>
      </c>
      <c r="B132" s="491" t="s">
        <v>11</v>
      </c>
      <c r="C132" s="532" t="s">
        <v>15</v>
      </c>
      <c r="D132" s="459" t="s">
        <v>540</v>
      </c>
      <c r="E132" s="457"/>
      <c r="F132" s="491" t="s">
        <v>11</v>
      </c>
      <c r="G132" s="532" t="s">
        <v>15</v>
      </c>
      <c r="H132" s="459" t="s">
        <v>541</v>
      </c>
      <c r="I132" s="396"/>
    </row>
    <row r="133" spans="1:12" ht="15.75" customHeight="1">
      <c r="A133" s="478"/>
      <c r="B133" s="492"/>
      <c r="C133" s="530"/>
      <c r="D133" s="460"/>
      <c r="E133" s="458"/>
      <c r="F133" s="492"/>
      <c r="G133" s="529"/>
      <c r="H133" s="454"/>
      <c r="I133" s="398"/>
    </row>
    <row r="134" spans="1:12">
      <c r="A134" s="478"/>
      <c r="B134" s="492"/>
      <c r="C134" s="529"/>
      <c r="D134" s="454"/>
      <c r="E134" s="456"/>
      <c r="F134" s="492"/>
      <c r="G134" s="26" t="s">
        <v>19</v>
      </c>
      <c r="H134" s="186" t="s">
        <v>311</v>
      </c>
      <c r="I134" s="176"/>
    </row>
    <row r="135" spans="1:12" ht="30" customHeight="1">
      <c r="A135" s="478"/>
      <c r="B135" s="492"/>
      <c r="C135" s="528" t="s">
        <v>19</v>
      </c>
      <c r="D135" s="453" t="s">
        <v>542</v>
      </c>
      <c r="E135" s="455"/>
      <c r="F135" s="492"/>
      <c r="G135" s="528" t="s">
        <v>24</v>
      </c>
      <c r="H135" s="453" t="s">
        <v>312</v>
      </c>
      <c r="I135" s="394"/>
    </row>
    <row r="136" spans="1:12" ht="15.75" customHeight="1">
      <c r="A136" s="478"/>
      <c r="B136" s="492"/>
      <c r="C136" s="529"/>
      <c r="D136" s="454"/>
      <c r="E136" s="456"/>
      <c r="F136" s="492"/>
      <c r="G136" s="529"/>
      <c r="H136" s="454"/>
      <c r="I136" s="398"/>
    </row>
    <row r="137" spans="1:12" ht="30.65" customHeight="1">
      <c r="A137" s="478"/>
      <c r="B137" s="525" t="s">
        <v>14</v>
      </c>
      <c r="C137" s="26" t="s">
        <v>15</v>
      </c>
      <c r="D137" s="102" t="s">
        <v>543</v>
      </c>
      <c r="E137" s="126"/>
      <c r="F137" s="525" t="s">
        <v>14</v>
      </c>
      <c r="G137" s="528" t="s">
        <v>15</v>
      </c>
      <c r="H137" s="453" t="s">
        <v>541</v>
      </c>
      <c r="I137" s="394"/>
    </row>
    <row r="138" spans="1:12">
      <c r="A138" s="478"/>
      <c r="B138" s="525"/>
      <c r="C138" s="26" t="s">
        <v>19</v>
      </c>
      <c r="D138" s="102" t="s">
        <v>544</v>
      </c>
      <c r="E138" s="126"/>
      <c r="F138" s="525"/>
      <c r="G138" s="529"/>
      <c r="H138" s="454"/>
      <c r="I138" s="398"/>
    </row>
    <row r="139" spans="1:12">
      <c r="A139" s="478"/>
      <c r="B139" s="525"/>
      <c r="C139" s="26" t="s">
        <v>24</v>
      </c>
      <c r="D139" s="102" t="s">
        <v>545</v>
      </c>
      <c r="E139" s="126"/>
      <c r="F139" s="525"/>
      <c r="G139" s="26" t="s">
        <v>19</v>
      </c>
      <c r="H139" s="186" t="s">
        <v>311</v>
      </c>
      <c r="I139" s="176"/>
    </row>
    <row r="140" spans="1:12" ht="26">
      <c r="A140" s="478"/>
      <c r="B140" s="525"/>
      <c r="C140" s="26" t="s">
        <v>36</v>
      </c>
      <c r="D140" s="102" t="s">
        <v>546</v>
      </c>
      <c r="E140" s="126"/>
      <c r="F140" s="525"/>
      <c r="G140" s="26" t="s">
        <v>24</v>
      </c>
      <c r="H140" s="187" t="s">
        <v>316</v>
      </c>
      <c r="I140" s="176"/>
      <c r="K140" s="37"/>
      <c r="L140" s="185"/>
    </row>
    <row r="141" spans="1:12" ht="26">
      <c r="A141" s="478"/>
      <c r="B141" s="497" t="s">
        <v>17</v>
      </c>
      <c r="C141" s="26" t="s">
        <v>15</v>
      </c>
      <c r="D141" s="102" t="s">
        <v>547</v>
      </c>
      <c r="E141" s="126"/>
      <c r="F141" s="497" t="s">
        <v>17</v>
      </c>
      <c r="G141" s="528" t="s">
        <v>15</v>
      </c>
      <c r="H141" s="453" t="s">
        <v>548</v>
      </c>
      <c r="I141" s="394"/>
      <c r="K141" s="37"/>
      <c r="L141" s="185"/>
    </row>
    <row r="142" spans="1:12" ht="26">
      <c r="A142" s="478"/>
      <c r="B142" s="497"/>
      <c r="C142" s="26" t="s">
        <v>19</v>
      </c>
      <c r="D142" s="102" t="s">
        <v>549</v>
      </c>
      <c r="E142" s="126"/>
      <c r="F142" s="497"/>
      <c r="G142" s="529"/>
      <c r="H142" s="454"/>
      <c r="I142" s="398"/>
      <c r="K142" s="37"/>
      <c r="L142" s="185"/>
    </row>
    <row r="143" spans="1:12">
      <c r="A143" s="478"/>
      <c r="B143" s="497"/>
      <c r="C143" s="26" t="s">
        <v>24</v>
      </c>
      <c r="D143" s="102" t="s">
        <v>550</v>
      </c>
      <c r="E143" s="126"/>
      <c r="F143" s="497"/>
      <c r="G143" s="26" t="s">
        <v>19</v>
      </c>
      <c r="H143" s="186" t="s">
        <v>311</v>
      </c>
      <c r="I143" s="176"/>
      <c r="K143" s="37"/>
      <c r="L143" s="185"/>
    </row>
    <row r="144" spans="1:12" ht="26">
      <c r="A144" s="478"/>
      <c r="B144" s="497"/>
      <c r="C144" s="26" t="s">
        <v>36</v>
      </c>
      <c r="D144" s="102" t="s">
        <v>551</v>
      </c>
      <c r="E144" s="126"/>
      <c r="F144" s="497"/>
      <c r="G144" s="26" t="s">
        <v>24</v>
      </c>
      <c r="H144" s="187" t="s">
        <v>347</v>
      </c>
      <c r="I144" s="176"/>
    </row>
    <row r="145" spans="1:9" ht="26">
      <c r="A145" s="478"/>
      <c r="B145" s="493" t="s">
        <v>22</v>
      </c>
      <c r="C145" s="26" t="s">
        <v>15</v>
      </c>
      <c r="D145" s="102" t="s">
        <v>552</v>
      </c>
      <c r="E145" s="126"/>
      <c r="F145" s="493" t="s">
        <v>22</v>
      </c>
      <c r="G145" s="507" t="s">
        <v>358</v>
      </c>
      <c r="H145" s="453" t="s">
        <v>326</v>
      </c>
      <c r="I145" s="394"/>
    </row>
    <row r="146" spans="1:9" ht="26">
      <c r="A146" s="478"/>
      <c r="B146" s="493"/>
      <c r="C146" s="26" t="s">
        <v>19</v>
      </c>
      <c r="D146" s="102" t="s">
        <v>553</v>
      </c>
      <c r="E146" s="126"/>
      <c r="F146" s="493"/>
      <c r="G146" s="508"/>
      <c r="H146" s="460"/>
      <c r="I146" s="397"/>
    </row>
    <row r="147" spans="1:9">
      <c r="A147" s="478"/>
      <c r="B147" s="493"/>
      <c r="C147" s="26" t="s">
        <v>24</v>
      </c>
      <c r="D147" s="102" t="s">
        <v>554</v>
      </c>
      <c r="E147" s="126"/>
      <c r="F147" s="493"/>
      <c r="G147" s="508"/>
      <c r="H147" s="460"/>
      <c r="I147" s="397"/>
    </row>
    <row r="148" spans="1:9" ht="26">
      <c r="A148" s="478"/>
      <c r="B148" s="493"/>
      <c r="C148" s="26" t="s">
        <v>36</v>
      </c>
      <c r="D148" s="102" t="s">
        <v>555</v>
      </c>
      <c r="E148" s="126"/>
      <c r="F148" s="493"/>
      <c r="G148" s="509"/>
      <c r="H148" s="454"/>
      <c r="I148" s="398"/>
    </row>
    <row r="149" spans="1:9" ht="26">
      <c r="A149" s="478"/>
      <c r="B149" s="489" t="s">
        <v>26</v>
      </c>
      <c r="C149" s="26" t="s">
        <v>15</v>
      </c>
      <c r="D149" s="102" t="s">
        <v>556</v>
      </c>
      <c r="E149" s="126"/>
      <c r="F149" s="489" t="s">
        <v>26</v>
      </c>
      <c r="G149" s="510" t="s">
        <v>358</v>
      </c>
      <c r="H149" s="453" t="s">
        <v>331</v>
      </c>
      <c r="I149" s="394"/>
    </row>
    <row r="150" spans="1:9" ht="15.75" customHeight="1">
      <c r="A150" s="478"/>
      <c r="B150" s="489"/>
      <c r="C150" s="26" t="s">
        <v>19</v>
      </c>
      <c r="D150" s="102" t="s">
        <v>557</v>
      </c>
      <c r="E150" s="126"/>
      <c r="F150" s="489"/>
      <c r="G150" s="511"/>
      <c r="H150" s="421"/>
      <c r="I150" s="399"/>
    </row>
    <row r="151" spans="1:9" ht="15.75" customHeight="1">
      <c r="A151" s="478"/>
      <c r="B151" s="489"/>
      <c r="C151" s="26" t="s">
        <v>24</v>
      </c>
      <c r="D151" s="102" t="s">
        <v>558</v>
      </c>
      <c r="E151" s="126"/>
      <c r="F151" s="489"/>
      <c r="G151" s="511"/>
      <c r="H151" s="421"/>
      <c r="I151" s="399"/>
    </row>
    <row r="152" spans="1:9" ht="26">
      <c r="A152" s="479"/>
      <c r="B152" s="490"/>
      <c r="C152" s="29" t="s">
        <v>36</v>
      </c>
      <c r="D152" s="144" t="s">
        <v>559</v>
      </c>
      <c r="E152" s="131"/>
      <c r="F152" s="490"/>
      <c r="G152" s="512"/>
      <c r="H152" s="422"/>
      <c r="I152" s="395"/>
    </row>
    <row r="153" spans="1:9">
      <c r="A153" s="480" t="s">
        <v>3</v>
      </c>
      <c r="B153" s="481"/>
      <c r="C153" s="481"/>
      <c r="D153" s="481"/>
      <c r="E153" s="481"/>
      <c r="F153" s="481"/>
      <c r="G153" s="481"/>
      <c r="H153" s="481"/>
      <c r="I153" s="482"/>
    </row>
    <row r="154" spans="1:9" ht="29.25" customHeight="1">
      <c r="A154" s="290"/>
      <c r="B154" s="291"/>
      <c r="C154" s="291"/>
      <c r="D154" s="291"/>
      <c r="E154" s="291"/>
      <c r="F154" s="291"/>
      <c r="G154" s="291"/>
      <c r="H154" s="291"/>
      <c r="I154" s="292"/>
    </row>
  </sheetData>
  <mergeCells count="233">
    <mergeCell ref="A1:I1"/>
    <mergeCell ref="A6:I6"/>
    <mergeCell ref="C7:D7"/>
    <mergeCell ref="G7:H7"/>
    <mergeCell ref="A8:A27"/>
    <mergeCell ref="A30:A46"/>
    <mergeCell ref="A49:A63"/>
    <mergeCell ref="A66:A85"/>
    <mergeCell ref="A88:A97"/>
    <mergeCell ref="C10:C11"/>
    <mergeCell ref="C14:C15"/>
    <mergeCell ref="C18:C19"/>
    <mergeCell ref="C22:C23"/>
    <mergeCell ref="C26:C27"/>
    <mergeCell ref="C30:C34"/>
    <mergeCell ref="C35:C38"/>
    <mergeCell ref="C39:C42"/>
    <mergeCell ref="C43:C44"/>
    <mergeCell ref="C45:C46"/>
    <mergeCell ref="C50:C53"/>
    <mergeCell ref="C54:C57"/>
    <mergeCell ref="C58:C61"/>
    <mergeCell ref="C66:C68"/>
    <mergeCell ref="C69:C71"/>
    <mergeCell ref="A100:A129"/>
    <mergeCell ref="A132:A152"/>
    <mergeCell ref="B8:B11"/>
    <mergeCell ref="B12:B15"/>
    <mergeCell ref="B16:B19"/>
    <mergeCell ref="B20:B23"/>
    <mergeCell ref="B24:B27"/>
    <mergeCell ref="B30:B34"/>
    <mergeCell ref="B35:B38"/>
    <mergeCell ref="B39:B42"/>
    <mergeCell ref="B43:B44"/>
    <mergeCell ref="B45:B46"/>
    <mergeCell ref="B49:B53"/>
    <mergeCell ref="B54:B57"/>
    <mergeCell ref="B58:B61"/>
    <mergeCell ref="B66:B71"/>
    <mergeCell ref="B72:B76"/>
    <mergeCell ref="B77:B81"/>
    <mergeCell ref="B82:B83"/>
    <mergeCell ref="B84:B85"/>
    <mergeCell ref="B88:B90"/>
    <mergeCell ref="B93:B94"/>
    <mergeCell ref="B95:B97"/>
    <mergeCell ref="B100:B103"/>
    <mergeCell ref="B104:B109"/>
    <mergeCell ref="B110:B115"/>
    <mergeCell ref="B116:B122"/>
    <mergeCell ref="B123:B129"/>
    <mergeCell ref="B132:B136"/>
    <mergeCell ref="B137:B140"/>
    <mergeCell ref="B141:B144"/>
    <mergeCell ref="B145:B148"/>
    <mergeCell ref="B149:B152"/>
    <mergeCell ref="C72:C73"/>
    <mergeCell ref="C74:C76"/>
    <mergeCell ref="C77:C79"/>
    <mergeCell ref="C80:C81"/>
    <mergeCell ref="C93:C94"/>
    <mergeCell ref="C96:C97"/>
    <mergeCell ref="C101:C102"/>
    <mergeCell ref="C132:C134"/>
    <mergeCell ref="C135:C136"/>
    <mergeCell ref="D10:D11"/>
    <mergeCell ref="D14:D15"/>
    <mergeCell ref="D18:D19"/>
    <mergeCell ref="D22:D23"/>
    <mergeCell ref="D26:D27"/>
    <mergeCell ref="D30:D34"/>
    <mergeCell ref="D35:D38"/>
    <mergeCell ref="D39:D42"/>
    <mergeCell ref="D43:D44"/>
    <mergeCell ref="D45:D46"/>
    <mergeCell ref="D50:D53"/>
    <mergeCell ref="D54:D57"/>
    <mergeCell ref="D58:D61"/>
    <mergeCell ref="D66:D68"/>
    <mergeCell ref="D69:D71"/>
    <mergeCell ref="D72:D73"/>
    <mergeCell ref="D74:D76"/>
    <mergeCell ref="D77:D79"/>
    <mergeCell ref="D80:D81"/>
    <mergeCell ref="D93:D94"/>
    <mergeCell ref="D96:D97"/>
    <mergeCell ref="D101:D102"/>
    <mergeCell ref="D132:D134"/>
    <mergeCell ref="D135:D136"/>
    <mergeCell ref="E10:E11"/>
    <mergeCell ref="E14:E15"/>
    <mergeCell ref="E18:E19"/>
    <mergeCell ref="E22:E23"/>
    <mergeCell ref="E26:E27"/>
    <mergeCell ref="E30:E34"/>
    <mergeCell ref="E35:E38"/>
    <mergeCell ref="E39:E42"/>
    <mergeCell ref="E43:E44"/>
    <mergeCell ref="E45:E46"/>
    <mergeCell ref="E50:E53"/>
    <mergeCell ref="E54:E57"/>
    <mergeCell ref="E58:E61"/>
    <mergeCell ref="E66:E68"/>
    <mergeCell ref="E69:E71"/>
    <mergeCell ref="E72:E73"/>
    <mergeCell ref="E74:E76"/>
    <mergeCell ref="E77:E79"/>
    <mergeCell ref="E96:E97"/>
    <mergeCell ref="E101:E102"/>
    <mergeCell ref="E132:E134"/>
    <mergeCell ref="E135:E136"/>
    <mergeCell ref="F8:F11"/>
    <mergeCell ref="F12:F15"/>
    <mergeCell ref="F16:F19"/>
    <mergeCell ref="F20:F23"/>
    <mergeCell ref="F24:F27"/>
    <mergeCell ref="F30:F34"/>
    <mergeCell ref="F35:F38"/>
    <mergeCell ref="F39:F42"/>
    <mergeCell ref="F43:F44"/>
    <mergeCell ref="F45:F46"/>
    <mergeCell ref="F49:F53"/>
    <mergeCell ref="F54:F57"/>
    <mergeCell ref="F58:F61"/>
    <mergeCell ref="F66:F71"/>
    <mergeCell ref="F72:F76"/>
    <mergeCell ref="F77:F81"/>
    <mergeCell ref="F132:F136"/>
    <mergeCell ref="F137:F140"/>
    <mergeCell ref="F141:F144"/>
    <mergeCell ref="F145:F148"/>
    <mergeCell ref="F149:F152"/>
    <mergeCell ref="G8:G11"/>
    <mergeCell ref="G12:G15"/>
    <mergeCell ref="G16:G19"/>
    <mergeCell ref="G20:G23"/>
    <mergeCell ref="G24:G27"/>
    <mergeCell ref="G33:G34"/>
    <mergeCell ref="G89:G90"/>
    <mergeCell ref="G93:G94"/>
    <mergeCell ref="G101:G102"/>
    <mergeCell ref="G104:G109"/>
    <mergeCell ref="G110:G115"/>
    <mergeCell ref="G116:G122"/>
    <mergeCell ref="G123:G124"/>
    <mergeCell ref="G125:G126"/>
    <mergeCell ref="G127:G129"/>
    <mergeCell ref="G132:G133"/>
    <mergeCell ref="G135:G136"/>
    <mergeCell ref="G137:G138"/>
    <mergeCell ref="F82:F83"/>
    <mergeCell ref="G141:G142"/>
    <mergeCell ref="G145:G148"/>
    <mergeCell ref="G149:G152"/>
    <mergeCell ref="H8:H11"/>
    <mergeCell ref="H12:H15"/>
    <mergeCell ref="H16:H19"/>
    <mergeCell ref="H20:H23"/>
    <mergeCell ref="H24:H27"/>
    <mergeCell ref="H33:H34"/>
    <mergeCell ref="H89:H90"/>
    <mergeCell ref="H93:H94"/>
    <mergeCell ref="H101:H102"/>
    <mergeCell ref="H104:H109"/>
    <mergeCell ref="H110:H115"/>
    <mergeCell ref="H116:H122"/>
    <mergeCell ref="H123:H124"/>
    <mergeCell ref="H125:H126"/>
    <mergeCell ref="H127:H129"/>
    <mergeCell ref="H132:H133"/>
    <mergeCell ref="H135:H136"/>
    <mergeCell ref="H137:H138"/>
    <mergeCell ref="H141:H142"/>
    <mergeCell ref="H145:H148"/>
    <mergeCell ref="H149:H152"/>
    <mergeCell ref="I8:I11"/>
    <mergeCell ref="I12:I15"/>
    <mergeCell ref="I16:I19"/>
    <mergeCell ref="I20:I23"/>
    <mergeCell ref="I24:I27"/>
    <mergeCell ref="I30:I32"/>
    <mergeCell ref="I33:I34"/>
    <mergeCell ref="I35:I38"/>
    <mergeCell ref="I39:I42"/>
    <mergeCell ref="I123:I124"/>
    <mergeCell ref="A86:I87"/>
    <mergeCell ref="I43:I44"/>
    <mergeCell ref="I45:I46"/>
    <mergeCell ref="I49:I53"/>
    <mergeCell ref="I54:I57"/>
    <mergeCell ref="I58:I61"/>
    <mergeCell ref="I66:I71"/>
    <mergeCell ref="I72:I76"/>
    <mergeCell ref="I77:I81"/>
    <mergeCell ref="I82:I83"/>
    <mergeCell ref="F123:F129"/>
    <mergeCell ref="F84:F85"/>
    <mergeCell ref="F88:F90"/>
    <mergeCell ref="F93:F94"/>
    <mergeCell ref="F95:F97"/>
    <mergeCell ref="F100:F103"/>
    <mergeCell ref="F104:F109"/>
    <mergeCell ref="F110:F115"/>
    <mergeCell ref="F116:F122"/>
    <mergeCell ref="E80:E81"/>
    <mergeCell ref="E82:E83"/>
    <mergeCell ref="E84:E85"/>
    <mergeCell ref="E93:E94"/>
    <mergeCell ref="A153:I154"/>
    <mergeCell ref="A47:I48"/>
    <mergeCell ref="A2:I3"/>
    <mergeCell ref="A4:I5"/>
    <mergeCell ref="A28:I29"/>
    <mergeCell ref="A64:I65"/>
    <mergeCell ref="A130:I131"/>
    <mergeCell ref="I125:I126"/>
    <mergeCell ref="I127:I129"/>
    <mergeCell ref="I132:I133"/>
    <mergeCell ref="I135:I136"/>
    <mergeCell ref="I137:I138"/>
    <mergeCell ref="I141:I142"/>
    <mergeCell ref="I145:I148"/>
    <mergeCell ref="I149:I152"/>
    <mergeCell ref="A98:I99"/>
    <mergeCell ref="I84:I85"/>
    <mergeCell ref="I88:I90"/>
    <mergeCell ref="I93:I94"/>
    <mergeCell ref="I95:I97"/>
    <mergeCell ref="I100:I103"/>
    <mergeCell ref="I104:I109"/>
    <mergeCell ref="I110:I115"/>
    <mergeCell ref="I116:I122"/>
  </mergeCells>
  <pageMargins left="0.7" right="0.7" top="0.75" bottom="0.75" header="0.3" footer="0.3"/>
  <pageSetup paperSize="9" scale="33" fitToHeight="0" orientation="portrait" r:id="rId1"/>
  <customProperties>
    <customPr name="EpmWorksheetKeyString_GUID" r:id="rId2"/>
  </customProperties>
  <drawing r:id="rId3"/>
  <legacyDrawing r:id="rId4"/>
  <controls>
    <mc:AlternateContent xmlns:mc="http://schemas.openxmlformats.org/markup-compatibility/2006">
      <mc:Choice Requires="x14">
        <control shapeId="24577" r:id="rId5" name="OptionButton1">
          <controlPr defaultSize="0" altText="" r:id="rId6">
            <anchor moveWithCells="1">
              <from>
                <xdr:col>1</xdr:col>
                <xdr:colOff>508000</xdr:colOff>
                <xdr:row>7</xdr:row>
                <xdr:rowOff>133350</xdr:rowOff>
              </from>
              <to>
                <xdr:col>1</xdr:col>
                <xdr:colOff>673100</xdr:colOff>
                <xdr:row>8</xdr:row>
                <xdr:rowOff>127000</xdr:rowOff>
              </to>
            </anchor>
          </controlPr>
        </control>
      </mc:Choice>
      <mc:Fallback>
        <control shapeId="24577" r:id="rId5" name="OptionButton1"/>
      </mc:Fallback>
    </mc:AlternateContent>
    <mc:AlternateContent xmlns:mc="http://schemas.openxmlformats.org/markup-compatibility/2006">
      <mc:Choice Requires="x14">
        <control shapeId="24579" r:id="rId7" name="OptionButton2">
          <controlPr defaultSize="0" altText="" r:id="rId6">
            <anchor moveWithCells="1">
              <from>
                <xdr:col>1</xdr:col>
                <xdr:colOff>508000</xdr:colOff>
                <xdr:row>11</xdr:row>
                <xdr:rowOff>133350</xdr:rowOff>
              </from>
              <to>
                <xdr:col>1</xdr:col>
                <xdr:colOff>673100</xdr:colOff>
                <xdr:row>12</xdr:row>
                <xdr:rowOff>120650</xdr:rowOff>
              </to>
            </anchor>
          </controlPr>
        </control>
      </mc:Choice>
      <mc:Fallback>
        <control shapeId="24579" r:id="rId7" name="OptionButton2"/>
      </mc:Fallback>
    </mc:AlternateContent>
    <mc:AlternateContent xmlns:mc="http://schemas.openxmlformats.org/markup-compatibility/2006">
      <mc:Choice Requires="x14">
        <control shapeId="24580" r:id="rId8" name="OptionButton3">
          <controlPr defaultSize="0" altText="" r:id="rId9">
            <anchor moveWithCells="1">
              <from>
                <xdr:col>1</xdr:col>
                <xdr:colOff>508000</xdr:colOff>
                <xdr:row>15</xdr:row>
                <xdr:rowOff>133350</xdr:rowOff>
              </from>
              <to>
                <xdr:col>1</xdr:col>
                <xdr:colOff>666750</xdr:colOff>
                <xdr:row>16</xdr:row>
                <xdr:rowOff>120650</xdr:rowOff>
              </to>
            </anchor>
          </controlPr>
        </control>
      </mc:Choice>
      <mc:Fallback>
        <control shapeId="24580" r:id="rId8" name="OptionButton3"/>
      </mc:Fallback>
    </mc:AlternateContent>
    <mc:AlternateContent xmlns:mc="http://schemas.openxmlformats.org/markup-compatibility/2006">
      <mc:Choice Requires="x14">
        <control shapeId="24581" r:id="rId10" name="OptionButton4">
          <controlPr defaultSize="0" altText="" r:id="rId6">
            <anchor moveWithCells="1">
              <from>
                <xdr:col>1</xdr:col>
                <xdr:colOff>508000</xdr:colOff>
                <xdr:row>19</xdr:row>
                <xdr:rowOff>133350</xdr:rowOff>
              </from>
              <to>
                <xdr:col>1</xdr:col>
                <xdr:colOff>673100</xdr:colOff>
                <xdr:row>20</xdr:row>
                <xdr:rowOff>120650</xdr:rowOff>
              </to>
            </anchor>
          </controlPr>
        </control>
      </mc:Choice>
      <mc:Fallback>
        <control shapeId="24581" r:id="rId10" name="OptionButton4"/>
      </mc:Fallback>
    </mc:AlternateContent>
    <mc:AlternateContent xmlns:mc="http://schemas.openxmlformats.org/markup-compatibility/2006">
      <mc:Choice Requires="x14">
        <control shapeId="24582" r:id="rId11" name="OptionButton5">
          <controlPr defaultSize="0" altText="" r:id="rId6">
            <anchor moveWithCells="1">
              <from>
                <xdr:col>1</xdr:col>
                <xdr:colOff>508000</xdr:colOff>
                <xdr:row>23</xdr:row>
                <xdr:rowOff>133350</xdr:rowOff>
              </from>
              <to>
                <xdr:col>1</xdr:col>
                <xdr:colOff>673100</xdr:colOff>
                <xdr:row>24</xdr:row>
                <xdr:rowOff>120650</xdr:rowOff>
              </to>
            </anchor>
          </controlPr>
        </control>
      </mc:Choice>
      <mc:Fallback>
        <control shapeId="24582" r:id="rId11" name="OptionButton5"/>
      </mc:Fallback>
    </mc:AlternateContent>
    <mc:AlternateContent xmlns:mc="http://schemas.openxmlformats.org/markup-compatibility/2006">
      <mc:Choice Requires="x14">
        <control shapeId="24583" r:id="rId12" name="OptionButton6">
          <controlPr defaultSize="0" altText="" r:id="rId6">
            <anchor moveWithCells="1">
              <from>
                <xdr:col>1</xdr:col>
                <xdr:colOff>488950</xdr:colOff>
                <xdr:row>30</xdr:row>
                <xdr:rowOff>184150</xdr:rowOff>
              </from>
              <to>
                <xdr:col>1</xdr:col>
                <xdr:colOff>654050</xdr:colOff>
                <xdr:row>31</xdr:row>
                <xdr:rowOff>101600</xdr:rowOff>
              </to>
            </anchor>
          </controlPr>
        </control>
      </mc:Choice>
      <mc:Fallback>
        <control shapeId="24583" r:id="rId12" name="OptionButton6"/>
      </mc:Fallback>
    </mc:AlternateContent>
    <mc:AlternateContent xmlns:mc="http://schemas.openxmlformats.org/markup-compatibility/2006">
      <mc:Choice Requires="x14">
        <control shapeId="24584" r:id="rId13" name="OptionButton7">
          <controlPr defaultSize="0" altText="" r:id="rId9">
            <anchor moveWithCells="1">
              <from>
                <xdr:col>1</xdr:col>
                <xdr:colOff>469900</xdr:colOff>
                <xdr:row>35</xdr:row>
                <xdr:rowOff>38100</xdr:rowOff>
              </from>
              <to>
                <xdr:col>1</xdr:col>
                <xdr:colOff>628650</xdr:colOff>
                <xdr:row>35</xdr:row>
                <xdr:rowOff>222250</xdr:rowOff>
              </to>
            </anchor>
          </controlPr>
        </control>
      </mc:Choice>
      <mc:Fallback>
        <control shapeId="24584" r:id="rId13" name="OptionButton7"/>
      </mc:Fallback>
    </mc:AlternateContent>
    <mc:AlternateContent xmlns:mc="http://schemas.openxmlformats.org/markup-compatibility/2006">
      <mc:Choice Requires="x14">
        <control shapeId="24585" r:id="rId14" name="OptionButton8">
          <controlPr defaultSize="0" altText="" r:id="rId6">
            <anchor moveWithCells="1">
              <from>
                <xdr:col>1</xdr:col>
                <xdr:colOff>476250</xdr:colOff>
                <xdr:row>39</xdr:row>
                <xdr:rowOff>31750</xdr:rowOff>
              </from>
              <to>
                <xdr:col>1</xdr:col>
                <xdr:colOff>641350</xdr:colOff>
                <xdr:row>39</xdr:row>
                <xdr:rowOff>215900</xdr:rowOff>
              </to>
            </anchor>
          </controlPr>
        </control>
      </mc:Choice>
      <mc:Fallback>
        <control shapeId="24585" r:id="rId14" name="OptionButton8"/>
      </mc:Fallback>
    </mc:AlternateContent>
    <mc:AlternateContent xmlns:mc="http://schemas.openxmlformats.org/markup-compatibility/2006">
      <mc:Choice Requires="x14">
        <control shapeId="24586" r:id="rId15" name="OptionButton9">
          <controlPr defaultSize="0" altText="" r:id="rId6">
            <anchor moveWithCells="1">
              <from>
                <xdr:col>1</xdr:col>
                <xdr:colOff>457200</xdr:colOff>
                <xdr:row>42</xdr:row>
                <xdr:rowOff>95250</xdr:rowOff>
              </from>
              <to>
                <xdr:col>1</xdr:col>
                <xdr:colOff>622300</xdr:colOff>
                <xdr:row>42</xdr:row>
                <xdr:rowOff>279400</xdr:rowOff>
              </to>
            </anchor>
          </controlPr>
        </control>
      </mc:Choice>
      <mc:Fallback>
        <control shapeId="24586" r:id="rId15" name="OptionButton9"/>
      </mc:Fallback>
    </mc:AlternateContent>
    <mc:AlternateContent xmlns:mc="http://schemas.openxmlformats.org/markup-compatibility/2006">
      <mc:Choice Requires="x14">
        <control shapeId="24587" r:id="rId16" name="OptionButton10">
          <controlPr defaultSize="0" altText="" r:id="rId6">
            <anchor moveWithCells="1">
              <from>
                <xdr:col>1</xdr:col>
                <xdr:colOff>469900</xdr:colOff>
                <xdr:row>44</xdr:row>
                <xdr:rowOff>107950</xdr:rowOff>
              </from>
              <to>
                <xdr:col>1</xdr:col>
                <xdr:colOff>635000</xdr:colOff>
                <xdr:row>44</xdr:row>
                <xdr:rowOff>292100</xdr:rowOff>
              </to>
            </anchor>
          </controlPr>
        </control>
      </mc:Choice>
      <mc:Fallback>
        <control shapeId="24587" r:id="rId16" name="OptionButton10"/>
      </mc:Fallback>
    </mc:AlternateContent>
    <mc:AlternateContent xmlns:mc="http://schemas.openxmlformats.org/markup-compatibility/2006">
      <mc:Choice Requires="x14">
        <control shapeId="24588" r:id="rId17" name="OptionButton11">
          <controlPr defaultSize="0" altText="" r:id="rId9">
            <anchor moveWithCells="1">
              <from>
                <xdr:col>1</xdr:col>
                <xdr:colOff>469900</xdr:colOff>
                <xdr:row>49</xdr:row>
                <xdr:rowOff>31750</xdr:rowOff>
              </from>
              <to>
                <xdr:col>1</xdr:col>
                <xdr:colOff>628650</xdr:colOff>
                <xdr:row>49</xdr:row>
                <xdr:rowOff>215900</xdr:rowOff>
              </to>
            </anchor>
          </controlPr>
        </control>
      </mc:Choice>
      <mc:Fallback>
        <control shapeId="24588" r:id="rId17" name="OptionButton11"/>
      </mc:Fallback>
    </mc:AlternateContent>
    <mc:AlternateContent xmlns:mc="http://schemas.openxmlformats.org/markup-compatibility/2006">
      <mc:Choice Requires="x14">
        <control shapeId="24594" r:id="rId18" name="OptionButton13">
          <controlPr defaultSize="0" altText="" r:id="rId6">
            <anchor moveWithCells="1">
              <from>
                <xdr:col>1</xdr:col>
                <xdr:colOff>457200</xdr:colOff>
                <xdr:row>53</xdr:row>
                <xdr:rowOff>260350</xdr:rowOff>
              </from>
              <to>
                <xdr:col>1</xdr:col>
                <xdr:colOff>622300</xdr:colOff>
                <xdr:row>54</xdr:row>
                <xdr:rowOff>114300</xdr:rowOff>
              </to>
            </anchor>
          </controlPr>
        </control>
      </mc:Choice>
      <mc:Fallback>
        <control shapeId="24594" r:id="rId18" name="OptionButton13"/>
      </mc:Fallback>
    </mc:AlternateContent>
    <mc:AlternateContent xmlns:mc="http://schemas.openxmlformats.org/markup-compatibility/2006">
      <mc:Choice Requires="x14">
        <control shapeId="24595" r:id="rId19" name="OptionButton14">
          <controlPr defaultSize="0" altText="" r:id="rId6">
            <anchor moveWithCells="1">
              <from>
                <xdr:col>1</xdr:col>
                <xdr:colOff>469900</xdr:colOff>
                <xdr:row>57</xdr:row>
                <xdr:rowOff>247650</xdr:rowOff>
              </from>
              <to>
                <xdr:col>1</xdr:col>
                <xdr:colOff>635000</xdr:colOff>
                <xdr:row>58</xdr:row>
                <xdr:rowOff>101600</xdr:rowOff>
              </to>
            </anchor>
          </controlPr>
        </control>
      </mc:Choice>
      <mc:Fallback>
        <control shapeId="24595" r:id="rId19" name="OptionButton14"/>
      </mc:Fallback>
    </mc:AlternateContent>
    <mc:AlternateContent xmlns:mc="http://schemas.openxmlformats.org/markup-compatibility/2006">
      <mc:Choice Requires="x14">
        <control shapeId="24596" r:id="rId20" name="OptionButton15">
          <controlPr defaultSize="0" altText="" r:id="rId6">
            <anchor moveWithCells="1">
              <from>
                <xdr:col>1</xdr:col>
                <xdr:colOff>469900</xdr:colOff>
                <xdr:row>61</xdr:row>
                <xdr:rowOff>165100</xdr:rowOff>
              </from>
              <to>
                <xdr:col>1</xdr:col>
                <xdr:colOff>635000</xdr:colOff>
                <xdr:row>61</xdr:row>
                <xdr:rowOff>349250</xdr:rowOff>
              </to>
            </anchor>
          </controlPr>
        </control>
      </mc:Choice>
      <mc:Fallback>
        <control shapeId="24596" r:id="rId20" name="OptionButton15"/>
      </mc:Fallback>
    </mc:AlternateContent>
    <mc:AlternateContent xmlns:mc="http://schemas.openxmlformats.org/markup-compatibility/2006">
      <mc:Choice Requires="x14">
        <control shapeId="24597" r:id="rId21" name="OptionButton16">
          <controlPr defaultSize="0" altText="" r:id="rId6">
            <anchor moveWithCells="1">
              <from>
                <xdr:col>1</xdr:col>
                <xdr:colOff>457200</xdr:colOff>
                <xdr:row>62</xdr:row>
                <xdr:rowOff>133350</xdr:rowOff>
              </from>
              <to>
                <xdr:col>1</xdr:col>
                <xdr:colOff>622300</xdr:colOff>
                <xdr:row>62</xdr:row>
                <xdr:rowOff>317500</xdr:rowOff>
              </to>
            </anchor>
          </controlPr>
        </control>
      </mc:Choice>
      <mc:Fallback>
        <control shapeId="24597" r:id="rId21" name="OptionButton16"/>
      </mc:Fallback>
    </mc:AlternateContent>
    <mc:AlternateContent xmlns:mc="http://schemas.openxmlformats.org/markup-compatibility/2006">
      <mc:Choice Requires="x14">
        <control shapeId="24598" r:id="rId22" name="OptionButton17">
          <controlPr defaultSize="0" altText="" r:id="rId9">
            <anchor moveWithCells="1">
              <from>
                <xdr:col>1</xdr:col>
                <xdr:colOff>488950</xdr:colOff>
                <xdr:row>66</xdr:row>
                <xdr:rowOff>127000</xdr:rowOff>
              </from>
              <to>
                <xdr:col>1</xdr:col>
                <xdr:colOff>647700</xdr:colOff>
                <xdr:row>67</xdr:row>
                <xdr:rowOff>114300</xdr:rowOff>
              </to>
            </anchor>
          </controlPr>
        </control>
      </mc:Choice>
      <mc:Fallback>
        <control shapeId="24598" r:id="rId22" name="OptionButton17"/>
      </mc:Fallback>
    </mc:AlternateContent>
    <mc:AlternateContent xmlns:mc="http://schemas.openxmlformats.org/markup-compatibility/2006">
      <mc:Choice Requires="x14">
        <control shapeId="24599" r:id="rId23" name="OptionButton18">
          <controlPr defaultSize="0" altText="" r:id="rId24">
            <anchor moveWithCells="1">
              <from>
                <xdr:col>1</xdr:col>
                <xdr:colOff>488950</xdr:colOff>
                <xdr:row>72</xdr:row>
                <xdr:rowOff>19050</xdr:rowOff>
              </from>
              <to>
                <xdr:col>1</xdr:col>
                <xdr:colOff>647700</xdr:colOff>
                <xdr:row>73</xdr:row>
                <xdr:rowOff>6350</xdr:rowOff>
              </to>
            </anchor>
          </controlPr>
        </control>
      </mc:Choice>
      <mc:Fallback>
        <control shapeId="24599" r:id="rId23" name="OptionButton18"/>
      </mc:Fallback>
    </mc:AlternateContent>
    <mc:AlternateContent xmlns:mc="http://schemas.openxmlformats.org/markup-compatibility/2006">
      <mc:Choice Requires="x14">
        <control shapeId="24600" r:id="rId25" name="OptionButton19">
          <controlPr defaultSize="0" altText="" r:id="rId6">
            <anchor moveWithCells="1">
              <from>
                <xdr:col>1</xdr:col>
                <xdr:colOff>488950</xdr:colOff>
                <xdr:row>77</xdr:row>
                <xdr:rowOff>31750</xdr:rowOff>
              </from>
              <to>
                <xdr:col>1</xdr:col>
                <xdr:colOff>654050</xdr:colOff>
                <xdr:row>78</xdr:row>
                <xdr:rowOff>19050</xdr:rowOff>
              </to>
            </anchor>
          </controlPr>
        </control>
      </mc:Choice>
      <mc:Fallback>
        <control shapeId="24600" r:id="rId25" name="OptionButton19"/>
      </mc:Fallback>
    </mc:AlternateContent>
    <mc:AlternateContent xmlns:mc="http://schemas.openxmlformats.org/markup-compatibility/2006">
      <mc:Choice Requires="x14">
        <control shapeId="24601" r:id="rId26" name="OptionButton20">
          <controlPr defaultSize="0" altText="" r:id="rId6">
            <anchor moveWithCells="1">
              <from>
                <xdr:col>1</xdr:col>
                <xdr:colOff>469900</xdr:colOff>
                <xdr:row>81</xdr:row>
                <xdr:rowOff>69850</xdr:rowOff>
              </from>
              <to>
                <xdr:col>1</xdr:col>
                <xdr:colOff>635000</xdr:colOff>
                <xdr:row>82</xdr:row>
                <xdr:rowOff>57150</xdr:rowOff>
              </to>
            </anchor>
          </controlPr>
        </control>
      </mc:Choice>
      <mc:Fallback>
        <control shapeId="24601" r:id="rId26" name="OptionButton20"/>
      </mc:Fallback>
    </mc:AlternateContent>
    <mc:AlternateContent xmlns:mc="http://schemas.openxmlformats.org/markup-compatibility/2006">
      <mc:Choice Requires="x14">
        <control shapeId="24602" r:id="rId27" name="OptionButton21">
          <controlPr defaultSize="0" altText="" r:id="rId6">
            <anchor moveWithCells="1">
              <from>
                <xdr:col>1</xdr:col>
                <xdr:colOff>476250</xdr:colOff>
                <xdr:row>83</xdr:row>
                <xdr:rowOff>57150</xdr:rowOff>
              </from>
              <to>
                <xdr:col>1</xdr:col>
                <xdr:colOff>641350</xdr:colOff>
                <xdr:row>84</xdr:row>
                <xdr:rowOff>57150</xdr:rowOff>
              </to>
            </anchor>
          </controlPr>
        </control>
      </mc:Choice>
      <mc:Fallback>
        <control shapeId="24602" r:id="rId27" name="OptionButton21"/>
      </mc:Fallback>
    </mc:AlternateContent>
    <mc:AlternateContent xmlns:mc="http://schemas.openxmlformats.org/markup-compatibility/2006">
      <mc:Choice Requires="x14">
        <control shapeId="24603" r:id="rId28" name="OptionButton22">
          <controlPr defaultSize="0" altText="" r:id="rId9">
            <anchor moveWithCells="1">
              <from>
                <xdr:col>1</xdr:col>
                <xdr:colOff>476250</xdr:colOff>
                <xdr:row>87</xdr:row>
                <xdr:rowOff>228600</xdr:rowOff>
              </from>
              <to>
                <xdr:col>1</xdr:col>
                <xdr:colOff>635000</xdr:colOff>
                <xdr:row>88</xdr:row>
                <xdr:rowOff>31750</xdr:rowOff>
              </to>
            </anchor>
          </controlPr>
        </control>
      </mc:Choice>
      <mc:Fallback>
        <control shapeId="24603" r:id="rId28" name="OptionButton22"/>
      </mc:Fallback>
    </mc:AlternateContent>
    <mc:AlternateContent xmlns:mc="http://schemas.openxmlformats.org/markup-compatibility/2006">
      <mc:Choice Requires="x14">
        <control shapeId="24604" r:id="rId29" name="OptionButton23">
          <controlPr defaultSize="0" altText="" r:id="rId24">
            <anchor moveWithCells="1">
              <from>
                <xdr:col>1</xdr:col>
                <xdr:colOff>457200</xdr:colOff>
                <xdr:row>90</xdr:row>
                <xdr:rowOff>95250</xdr:rowOff>
              </from>
              <to>
                <xdr:col>1</xdr:col>
                <xdr:colOff>615950</xdr:colOff>
                <xdr:row>90</xdr:row>
                <xdr:rowOff>279400</xdr:rowOff>
              </to>
            </anchor>
          </controlPr>
        </control>
      </mc:Choice>
      <mc:Fallback>
        <control shapeId="24604" r:id="rId29" name="OptionButton23"/>
      </mc:Fallback>
    </mc:AlternateContent>
    <mc:AlternateContent xmlns:mc="http://schemas.openxmlformats.org/markup-compatibility/2006">
      <mc:Choice Requires="x14">
        <control shapeId="24605" r:id="rId30" name="OptionButton24">
          <controlPr defaultSize="0" altText="" r:id="rId6">
            <anchor moveWithCells="1">
              <from>
                <xdr:col>1</xdr:col>
                <xdr:colOff>457200</xdr:colOff>
                <xdr:row>91</xdr:row>
                <xdr:rowOff>114300</xdr:rowOff>
              </from>
              <to>
                <xdr:col>1</xdr:col>
                <xdr:colOff>622300</xdr:colOff>
                <xdr:row>91</xdr:row>
                <xdr:rowOff>298450</xdr:rowOff>
              </to>
            </anchor>
          </controlPr>
        </control>
      </mc:Choice>
      <mc:Fallback>
        <control shapeId="24605" r:id="rId30" name="OptionButton24"/>
      </mc:Fallback>
    </mc:AlternateContent>
    <mc:AlternateContent xmlns:mc="http://schemas.openxmlformats.org/markup-compatibility/2006">
      <mc:Choice Requires="x14">
        <control shapeId="24606" r:id="rId31" name="OptionButton25">
          <controlPr defaultSize="0" altText="" r:id="rId6">
            <anchor moveWithCells="1">
              <from>
                <xdr:col>1</xdr:col>
                <xdr:colOff>469900</xdr:colOff>
                <xdr:row>92</xdr:row>
                <xdr:rowOff>114300</xdr:rowOff>
              </from>
              <to>
                <xdr:col>1</xdr:col>
                <xdr:colOff>635000</xdr:colOff>
                <xdr:row>93</xdr:row>
                <xdr:rowOff>101600</xdr:rowOff>
              </to>
            </anchor>
          </controlPr>
        </control>
      </mc:Choice>
      <mc:Fallback>
        <control shapeId="24606" r:id="rId31" name="OptionButton25"/>
      </mc:Fallback>
    </mc:AlternateContent>
    <mc:AlternateContent xmlns:mc="http://schemas.openxmlformats.org/markup-compatibility/2006">
      <mc:Choice Requires="x14">
        <control shapeId="24607" r:id="rId32" name="OptionButton26">
          <controlPr defaultSize="0" altText="" r:id="rId6">
            <anchor moveWithCells="1">
              <from>
                <xdr:col>1</xdr:col>
                <xdr:colOff>469900</xdr:colOff>
                <xdr:row>95</xdr:row>
                <xdr:rowOff>31750</xdr:rowOff>
              </from>
              <to>
                <xdr:col>1</xdr:col>
                <xdr:colOff>635000</xdr:colOff>
                <xdr:row>95</xdr:row>
                <xdr:rowOff>215900</xdr:rowOff>
              </to>
            </anchor>
          </controlPr>
        </control>
      </mc:Choice>
      <mc:Fallback>
        <control shapeId="24607" r:id="rId32" name="OptionButton26"/>
      </mc:Fallback>
    </mc:AlternateContent>
    <mc:AlternateContent xmlns:mc="http://schemas.openxmlformats.org/markup-compatibility/2006">
      <mc:Choice Requires="x14">
        <control shapeId="24608" r:id="rId33" name="OptionButton27">
          <controlPr defaultSize="0" altText="" r:id="rId9">
            <anchor moveWithCells="1">
              <from>
                <xdr:col>1</xdr:col>
                <xdr:colOff>476250</xdr:colOff>
                <xdr:row>99</xdr:row>
                <xdr:rowOff>222250</xdr:rowOff>
              </from>
              <to>
                <xdr:col>1</xdr:col>
                <xdr:colOff>635000</xdr:colOff>
                <xdr:row>100</xdr:row>
                <xdr:rowOff>25400</xdr:rowOff>
              </to>
            </anchor>
          </controlPr>
        </control>
      </mc:Choice>
      <mc:Fallback>
        <control shapeId="24608" r:id="rId33" name="OptionButton27"/>
      </mc:Fallback>
    </mc:AlternateContent>
    <mc:AlternateContent xmlns:mc="http://schemas.openxmlformats.org/markup-compatibility/2006">
      <mc:Choice Requires="x14">
        <control shapeId="24609" r:id="rId34" name="OptionButton28">
          <controlPr defaultSize="0" altText="" r:id="rId24">
            <anchor moveWithCells="1">
              <from>
                <xdr:col>1</xdr:col>
                <xdr:colOff>476250</xdr:colOff>
                <xdr:row>104</xdr:row>
                <xdr:rowOff>209550</xdr:rowOff>
              </from>
              <to>
                <xdr:col>1</xdr:col>
                <xdr:colOff>635000</xdr:colOff>
                <xdr:row>105</xdr:row>
                <xdr:rowOff>63500</xdr:rowOff>
              </to>
            </anchor>
          </controlPr>
        </control>
      </mc:Choice>
      <mc:Fallback>
        <control shapeId="24609" r:id="rId34" name="OptionButton28"/>
      </mc:Fallback>
    </mc:AlternateContent>
    <mc:AlternateContent xmlns:mc="http://schemas.openxmlformats.org/markup-compatibility/2006">
      <mc:Choice Requires="x14">
        <control shapeId="24610" r:id="rId35" name="OptionButton29">
          <controlPr defaultSize="0" altText="" r:id="rId6">
            <anchor moveWithCells="1">
              <from>
                <xdr:col>1</xdr:col>
                <xdr:colOff>488950</xdr:colOff>
                <xdr:row>110</xdr:row>
                <xdr:rowOff>298450</xdr:rowOff>
              </from>
              <to>
                <xdr:col>1</xdr:col>
                <xdr:colOff>654050</xdr:colOff>
                <xdr:row>111</xdr:row>
                <xdr:rowOff>152400</xdr:rowOff>
              </to>
            </anchor>
          </controlPr>
        </control>
      </mc:Choice>
      <mc:Fallback>
        <control shapeId="24610" r:id="rId35" name="OptionButton29"/>
      </mc:Fallback>
    </mc:AlternateContent>
    <mc:AlternateContent xmlns:mc="http://schemas.openxmlformats.org/markup-compatibility/2006">
      <mc:Choice Requires="x14">
        <control shapeId="24611" r:id="rId36" name="OptionButton30">
          <controlPr defaultSize="0" altText="" r:id="rId6">
            <anchor moveWithCells="1">
              <from>
                <xdr:col>1</xdr:col>
                <xdr:colOff>469900</xdr:colOff>
                <xdr:row>117</xdr:row>
                <xdr:rowOff>31750</xdr:rowOff>
              </from>
              <to>
                <xdr:col>1</xdr:col>
                <xdr:colOff>635000</xdr:colOff>
                <xdr:row>118</xdr:row>
                <xdr:rowOff>31750</xdr:rowOff>
              </to>
            </anchor>
          </controlPr>
        </control>
      </mc:Choice>
      <mc:Fallback>
        <control shapeId="24611" r:id="rId36" name="OptionButton30"/>
      </mc:Fallback>
    </mc:AlternateContent>
    <mc:AlternateContent xmlns:mc="http://schemas.openxmlformats.org/markup-compatibility/2006">
      <mc:Choice Requires="x14">
        <control shapeId="24612" r:id="rId37" name="OptionButton31">
          <controlPr defaultSize="0" altText="" r:id="rId6">
            <anchor moveWithCells="1">
              <from>
                <xdr:col>1</xdr:col>
                <xdr:colOff>457200</xdr:colOff>
                <xdr:row>124</xdr:row>
                <xdr:rowOff>31750</xdr:rowOff>
              </from>
              <to>
                <xdr:col>1</xdr:col>
                <xdr:colOff>622300</xdr:colOff>
                <xdr:row>124</xdr:row>
                <xdr:rowOff>215900</xdr:rowOff>
              </to>
            </anchor>
          </controlPr>
        </control>
      </mc:Choice>
      <mc:Fallback>
        <control shapeId="24612" r:id="rId37" name="OptionButton31"/>
      </mc:Fallback>
    </mc:AlternateContent>
    <mc:AlternateContent xmlns:mc="http://schemas.openxmlformats.org/markup-compatibility/2006">
      <mc:Choice Requires="x14">
        <control shapeId="24613" r:id="rId38" name="OptionButton32">
          <controlPr defaultSize="0" altText="" r:id="rId9">
            <anchor moveWithCells="1">
              <from>
                <xdr:col>1</xdr:col>
                <xdr:colOff>476250</xdr:colOff>
                <xdr:row>132</xdr:row>
                <xdr:rowOff>31750</xdr:rowOff>
              </from>
              <to>
                <xdr:col>1</xdr:col>
                <xdr:colOff>635000</xdr:colOff>
                <xdr:row>133</xdr:row>
                <xdr:rowOff>19050</xdr:rowOff>
              </to>
            </anchor>
          </controlPr>
        </control>
      </mc:Choice>
      <mc:Fallback>
        <control shapeId="24613" r:id="rId38" name="OptionButton32"/>
      </mc:Fallback>
    </mc:AlternateContent>
    <mc:AlternateContent xmlns:mc="http://schemas.openxmlformats.org/markup-compatibility/2006">
      <mc:Choice Requires="x14">
        <control shapeId="24614" r:id="rId39" name="OptionButton33">
          <controlPr defaultSize="0" altText="" r:id="rId24">
            <anchor moveWithCells="1">
              <from>
                <xdr:col>1</xdr:col>
                <xdr:colOff>450850</xdr:colOff>
                <xdr:row>137</xdr:row>
                <xdr:rowOff>95250</xdr:rowOff>
              </from>
              <to>
                <xdr:col>1</xdr:col>
                <xdr:colOff>609600</xdr:colOff>
                <xdr:row>138</xdr:row>
                <xdr:rowOff>95250</xdr:rowOff>
              </to>
            </anchor>
          </controlPr>
        </control>
      </mc:Choice>
      <mc:Fallback>
        <control shapeId="24614" r:id="rId39" name="OptionButton33"/>
      </mc:Fallback>
    </mc:AlternateContent>
    <mc:AlternateContent xmlns:mc="http://schemas.openxmlformats.org/markup-compatibility/2006">
      <mc:Choice Requires="x14">
        <control shapeId="24615" r:id="rId40" name="OptionButton34">
          <controlPr defaultSize="0" altText="" r:id="rId6">
            <anchor moveWithCells="1">
              <from>
                <xdr:col>1</xdr:col>
                <xdr:colOff>457200</xdr:colOff>
                <xdr:row>141</xdr:row>
                <xdr:rowOff>88900</xdr:rowOff>
              </from>
              <to>
                <xdr:col>1</xdr:col>
                <xdr:colOff>622300</xdr:colOff>
                <xdr:row>141</xdr:row>
                <xdr:rowOff>273050</xdr:rowOff>
              </to>
            </anchor>
          </controlPr>
        </control>
      </mc:Choice>
      <mc:Fallback>
        <control shapeId="24615" r:id="rId40" name="OptionButton34"/>
      </mc:Fallback>
    </mc:AlternateContent>
    <mc:AlternateContent xmlns:mc="http://schemas.openxmlformats.org/markup-compatibility/2006">
      <mc:Choice Requires="x14">
        <control shapeId="24616" r:id="rId41" name="OptionButton35">
          <controlPr defaultSize="0" altText="" r:id="rId6">
            <anchor moveWithCells="1">
              <from>
                <xdr:col>1</xdr:col>
                <xdr:colOff>476250</xdr:colOff>
                <xdr:row>145</xdr:row>
                <xdr:rowOff>76200</xdr:rowOff>
              </from>
              <to>
                <xdr:col>1</xdr:col>
                <xdr:colOff>641350</xdr:colOff>
                <xdr:row>145</xdr:row>
                <xdr:rowOff>260350</xdr:rowOff>
              </to>
            </anchor>
          </controlPr>
        </control>
      </mc:Choice>
      <mc:Fallback>
        <control shapeId="24616" r:id="rId41" name="OptionButton35"/>
      </mc:Fallback>
    </mc:AlternateContent>
    <mc:AlternateContent xmlns:mc="http://schemas.openxmlformats.org/markup-compatibility/2006">
      <mc:Choice Requires="x14">
        <control shapeId="24617" r:id="rId42" name="OptionButton36">
          <controlPr defaultSize="0" altText="" r:id="rId6">
            <anchor moveWithCells="1">
              <from>
                <xdr:col>1</xdr:col>
                <xdr:colOff>476250</xdr:colOff>
                <xdr:row>148</xdr:row>
                <xdr:rowOff>304800</xdr:rowOff>
              </from>
              <to>
                <xdr:col>1</xdr:col>
                <xdr:colOff>641350</xdr:colOff>
                <xdr:row>149</xdr:row>
                <xdr:rowOff>158750</xdr:rowOff>
              </to>
            </anchor>
          </controlPr>
        </control>
      </mc:Choice>
      <mc:Fallback>
        <control shapeId="24617" r:id="rId42" name="OptionButton36"/>
      </mc:Fallback>
    </mc:AlternateContent>
    <mc:AlternateContent xmlns:mc="http://schemas.openxmlformats.org/markup-compatibility/2006">
      <mc:Choice Requires="x14">
        <control shapeId="24618" r:id="rId43" name="OptionButton37">
          <controlPr defaultSize="0" altText="" r:id="rId6">
            <anchor moveWithCells="1">
              <from>
                <xdr:col>5</xdr:col>
                <xdr:colOff>469900</xdr:colOff>
                <xdr:row>7</xdr:row>
                <xdr:rowOff>133350</xdr:rowOff>
              </from>
              <to>
                <xdr:col>5</xdr:col>
                <xdr:colOff>635000</xdr:colOff>
                <xdr:row>8</xdr:row>
                <xdr:rowOff>127000</xdr:rowOff>
              </to>
            </anchor>
          </controlPr>
        </control>
      </mc:Choice>
      <mc:Fallback>
        <control shapeId="24618" r:id="rId43" name="OptionButton37"/>
      </mc:Fallback>
    </mc:AlternateContent>
    <mc:AlternateContent xmlns:mc="http://schemas.openxmlformats.org/markup-compatibility/2006">
      <mc:Choice Requires="x14">
        <control shapeId="24620" r:id="rId44" name="OptionButton39">
          <controlPr defaultSize="0" altText="" r:id="rId45">
            <anchor moveWithCells="1">
              <from>
                <xdr:col>5</xdr:col>
                <xdr:colOff>469900</xdr:colOff>
                <xdr:row>15</xdr:row>
                <xdr:rowOff>133350</xdr:rowOff>
              </from>
              <to>
                <xdr:col>5</xdr:col>
                <xdr:colOff>635000</xdr:colOff>
                <xdr:row>16</xdr:row>
                <xdr:rowOff>120650</xdr:rowOff>
              </to>
            </anchor>
          </controlPr>
        </control>
      </mc:Choice>
      <mc:Fallback>
        <control shapeId="24620" r:id="rId44" name="OptionButton39"/>
      </mc:Fallback>
    </mc:AlternateContent>
    <mc:AlternateContent xmlns:mc="http://schemas.openxmlformats.org/markup-compatibility/2006">
      <mc:Choice Requires="x14">
        <control shapeId="24622" r:id="rId46" name="OptionButton41">
          <controlPr defaultSize="0" altText="" r:id="rId6">
            <anchor moveWithCells="1">
              <from>
                <xdr:col>5</xdr:col>
                <xdr:colOff>469900</xdr:colOff>
                <xdr:row>23</xdr:row>
                <xdr:rowOff>133350</xdr:rowOff>
              </from>
              <to>
                <xdr:col>5</xdr:col>
                <xdr:colOff>635000</xdr:colOff>
                <xdr:row>24</xdr:row>
                <xdr:rowOff>120650</xdr:rowOff>
              </to>
            </anchor>
          </controlPr>
        </control>
      </mc:Choice>
      <mc:Fallback>
        <control shapeId="24622" r:id="rId46" name="OptionButton41"/>
      </mc:Fallback>
    </mc:AlternateContent>
    <mc:AlternateContent xmlns:mc="http://schemas.openxmlformats.org/markup-compatibility/2006">
      <mc:Choice Requires="x14">
        <control shapeId="24623" r:id="rId47" name="OptionButton42">
          <controlPr defaultSize="0" altText="" r:id="rId6">
            <anchor moveWithCells="1">
              <from>
                <xdr:col>5</xdr:col>
                <xdr:colOff>457200</xdr:colOff>
                <xdr:row>30</xdr:row>
                <xdr:rowOff>171450</xdr:rowOff>
              </from>
              <to>
                <xdr:col>5</xdr:col>
                <xdr:colOff>622300</xdr:colOff>
                <xdr:row>31</xdr:row>
                <xdr:rowOff>88900</xdr:rowOff>
              </to>
            </anchor>
          </controlPr>
        </control>
      </mc:Choice>
      <mc:Fallback>
        <control shapeId="24623" r:id="rId47" name="OptionButton42"/>
      </mc:Fallback>
    </mc:AlternateContent>
    <mc:AlternateContent xmlns:mc="http://schemas.openxmlformats.org/markup-compatibility/2006">
      <mc:Choice Requires="x14">
        <control shapeId="24624" r:id="rId48" name="OptionButton43">
          <controlPr defaultSize="0" altText="" r:id="rId6">
            <anchor moveWithCells="1">
              <from>
                <xdr:col>5</xdr:col>
                <xdr:colOff>476250</xdr:colOff>
                <xdr:row>35</xdr:row>
                <xdr:rowOff>38100</xdr:rowOff>
              </from>
              <to>
                <xdr:col>5</xdr:col>
                <xdr:colOff>641350</xdr:colOff>
                <xdr:row>35</xdr:row>
                <xdr:rowOff>222250</xdr:rowOff>
              </to>
            </anchor>
          </controlPr>
        </control>
      </mc:Choice>
      <mc:Fallback>
        <control shapeId="24624" r:id="rId48" name="OptionButton43"/>
      </mc:Fallback>
    </mc:AlternateContent>
    <mc:AlternateContent xmlns:mc="http://schemas.openxmlformats.org/markup-compatibility/2006">
      <mc:Choice Requires="x14">
        <control shapeId="24625" r:id="rId49" name="OptionButton44">
          <controlPr defaultSize="0" altText="" r:id="rId6">
            <anchor moveWithCells="1">
              <from>
                <xdr:col>5</xdr:col>
                <xdr:colOff>469900</xdr:colOff>
                <xdr:row>39</xdr:row>
                <xdr:rowOff>50800</xdr:rowOff>
              </from>
              <to>
                <xdr:col>5</xdr:col>
                <xdr:colOff>635000</xdr:colOff>
                <xdr:row>39</xdr:row>
                <xdr:rowOff>234950</xdr:rowOff>
              </to>
            </anchor>
          </controlPr>
        </control>
      </mc:Choice>
      <mc:Fallback>
        <control shapeId="24625" r:id="rId49" name="OptionButton44"/>
      </mc:Fallback>
    </mc:AlternateContent>
    <mc:AlternateContent xmlns:mc="http://schemas.openxmlformats.org/markup-compatibility/2006">
      <mc:Choice Requires="x14">
        <control shapeId="24626" r:id="rId50" name="OptionButton45">
          <controlPr defaultSize="0" altText="" r:id="rId6">
            <anchor moveWithCells="1">
              <from>
                <xdr:col>5</xdr:col>
                <xdr:colOff>469900</xdr:colOff>
                <xdr:row>42</xdr:row>
                <xdr:rowOff>69850</xdr:rowOff>
              </from>
              <to>
                <xdr:col>5</xdr:col>
                <xdr:colOff>635000</xdr:colOff>
                <xdr:row>42</xdr:row>
                <xdr:rowOff>254000</xdr:rowOff>
              </to>
            </anchor>
          </controlPr>
        </control>
      </mc:Choice>
      <mc:Fallback>
        <control shapeId="24626" r:id="rId50" name="OptionButton45"/>
      </mc:Fallback>
    </mc:AlternateContent>
    <mc:AlternateContent xmlns:mc="http://schemas.openxmlformats.org/markup-compatibility/2006">
      <mc:Choice Requires="x14">
        <control shapeId="24627" r:id="rId51" name="OptionButton46">
          <controlPr defaultSize="0" altText="" r:id="rId9">
            <anchor moveWithCells="1">
              <from>
                <xdr:col>5</xdr:col>
                <xdr:colOff>476250</xdr:colOff>
                <xdr:row>44</xdr:row>
                <xdr:rowOff>76200</xdr:rowOff>
              </from>
              <to>
                <xdr:col>5</xdr:col>
                <xdr:colOff>635000</xdr:colOff>
                <xdr:row>44</xdr:row>
                <xdr:rowOff>260350</xdr:rowOff>
              </to>
            </anchor>
          </controlPr>
        </control>
      </mc:Choice>
      <mc:Fallback>
        <control shapeId="24627" r:id="rId51" name="OptionButton46"/>
      </mc:Fallback>
    </mc:AlternateContent>
    <mc:AlternateContent xmlns:mc="http://schemas.openxmlformats.org/markup-compatibility/2006">
      <mc:Choice Requires="x14">
        <control shapeId="24628" r:id="rId52" name="OptionButton12">
          <controlPr defaultSize="0" altText="" r:id="rId6">
            <anchor moveWithCells="1">
              <from>
                <xdr:col>5</xdr:col>
                <xdr:colOff>495300</xdr:colOff>
                <xdr:row>49</xdr:row>
                <xdr:rowOff>0</xdr:rowOff>
              </from>
              <to>
                <xdr:col>5</xdr:col>
                <xdr:colOff>660400</xdr:colOff>
                <xdr:row>49</xdr:row>
                <xdr:rowOff>184150</xdr:rowOff>
              </to>
            </anchor>
          </controlPr>
        </control>
      </mc:Choice>
      <mc:Fallback>
        <control shapeId="24628" r:id="rId52" name="OptionButton12"/>
      </mc:Fallback>
    </mc:AlternateContent>
    <mc:AlternateContent xmlns:mc="http://schemas.openxmlformats.org/markup-compatibility/2006">
      <mc:Choice Requires="x14">
        <control shapeId="24630" r:id="rId53" name="OptionButton47">
          <controlPr defaultSize="0" altText="" r:id="rId6">
            <anchor moveWithCells="1">
              <from>
                <xdr:col>5</xdr:col>
                <xdr:colOff>488950</xdr:colOff>
                <xdr:row>53</xdr:row>
                <xdr:rowOff>304800</xdr:rowOff>
              </from>
              <to>
                <xdr:col>5</xdr:col>
                <xdr:colOff>654050</xdr:colOff>
                <xdr:row>54</xdr:row>
                <xdr:rowOff>158750</xdr:rowOff>
              </to>
            </anchor>
          </controlPr>
        </control>
      </mc:Choice>
      <mc:Fallback>
        <control shapeId="24630" r:id="rId53" name="OptionButton47"/>
      </mc:Fallback>
    </mc:AlternateContent>
    <mc:AlternateContent xmlns:mc="http://schemas.openxmlformats.org/markup-compatibility/2006">
      <mc:Choice Requires="x14">
        <control shapeId="24631" r:id="rId54" name="OptionButton48">
          <controlPr defaultSize="0" altText="" r:id="rId6">
            <anchor moveWithCells="1">
              <from>
                <xdr:col>5</xdr:col>
                <xdr:colOff>488950</xdr:colOff>
                <xdr:row>57</xdr:row>
                <xdr:rowOff>222250</xdr:rowOff>
              </from>
              <to>
                <xdr:col>5</xdr:col>
                <xdr:colOff>654050</xdr:colOff>
                <xdr:row>58</xdr:row>
                <xdr:rowOff>76200</xdr:rowOff>
              </to>
            </anchor>
          </controlPr>
        </control>
      </mc:Choice>
      <mc:Fallback>
        <control shapeId="24631" r:id="rId54" name="OptionButton48"/>
      </mc:Fallback>
    </mc:AlternateContent>
    <mc:AlternateContent xmlns:mc="http://schemas.openxmlformats.org/markup-compatibility/2006">
      <mc:Choice Requires="x14">
        <control shapeId="24632" r:id="rId55" name="OptionButton49">
          <controlPr defaultSize="0" altText="" r:id="rId24">
            <anchor moveWithCells="1">
              <from>
                <xdr:col>5</xdr:col>
                <xdr:colOff>488950</xdr:colOff>
                <xdr:row>61</xdr:row>
                <xdr:rowOff>165100</xdr:rowOff>
              </from>
              <to>
                <xdr:col>5</xdr:col>
                <xdr:colOff>647700</xdr:colOff>
                <xdr:row>61</xdr:row>
                <xdr:rowOff>349250</xdr:rowOff>
              </to>
            </anchor>
          </controlPr>
        </control>
      </mc:Choice>
      <mc:Fallback>
        <control shapeId="24632" r:id="rId55" name="OptionButton49"/>
      </mc:Fallback>
    </mc:AlternateContent>
    <mc:AlternateContent xmlns:mc="http://schemas.openxmlformats.org/markup-compatibility/2006">
      <mc:Choice Requires="x14">
        <control shapeId="24633" r:id="rId56" name="OptionButton50">
          <controlPr defaultSize="0" altText="" r:id="rId9">
            <anchor moveWithCells="1">
              <from>
                <xdr:col>5</xdr:col>
                <xdr:colOff>488950</xdr:colOff>
                <xdr:row>62</xdr:row>
                <xdr:rowOff>165100</xdr:rowOff>
              </from>
              <to>
                <xdr:col>5</xdr:col>
                <xdr:colOff>647700</xdr:colOff>
                <xdr:row>62</xdr:row>
                <xdr:rowOff>349250</xdr:rowOff>
              </to>
            </anchor>
          </controlPr>
        </control>
      </mc:Choice>
      <mc:Fallback>
        <control shapeId="24633" r:id="rId56" name="OptionButton50"/>
      </mc:Fallback>
    </mc:AlternateContent>
    <mc:AlternateContent xmlns:mc="http://schemas.openxmlformats.org/markup-compatibility/2006">
      <mc:Choice Requires="x14">
        <control shapeId="24634" r:id="rId57" name="OptionButton51">
          <controlPr defaultSize="0" altText="" r:id="rId24">
            <anchor moveWithCells="1">
              <from>
                <xdr:col>5</xdr:col>
                <xdr:colOff>488950</xdr:colOff>
                <xdr:row>66</xdr:row>
                <xdr:rowOff>114300</xdr:rowOff>
              </from>
              <to>
                <xdr:col>5</xdr:col>
                <xdr:colOff>647700</xdr:colOff>
                <xdr:row>67</xdr:row>
                <xdr:rowOff>101600</xdr:rowOff>
              </to>
            </anchor>
          </controlPr>
        </control>
      </mc:Choice>
      <mc:Fallback>
        <control shapeId="24634" r:id="rId57" name="OptionButton51"/>
      </mc:Fallback>
    </mc:AlternateContent>
    <mc:AlternateContent xmlns:mc="http://schemas.openxmlformats.org/markup-compatibility/2006">
      <mc:Choice Requires="x14">
        <control shapeId="24635" r:id="rId58" name="OptionButton52">
          <controlPr defaultSize="0" altText="" r:id="rId6">
            <anchor moveWithCells="1">
              <from>
                <xdr:col>5</xdr:col>
                <xdr:colOff>488950</xdr:colOff>
                <xdr:row>72</xdr:row>
                <xdr:rowOff>12700</xdr:rowOff>
              </from>
              <to>
                <xdr:col>5</xdr:col>
                <xdr:colOff>654050</xdr:colOff>
                <xdr:row>73</xdr:row>
                <xdr:rowOff>0</xdr:rowOff>
              </to>
            </anchor>
          </controlPr>
        </control>
      </mc:Choice>
      <mc:Fallback>
        <control shapeId="24635" r:id="rId58" name="OptionButton52"/>
      </mc:Fallback>
    </mc:AlternateContent>
    <mc:AlternateContent xmlns:mc="http://schemas.openxmlformats.org/markup-compatibility/2006">
      <mc:Choice Requires="x14">
        <control shapeId="24636" r:id="rId59" name="OptionButton53">
          <controlPr defaultSize="0" altText="" r:id="rId6">
            <anchor moveWithCells="1">
              <from>
                <xdr:col>5</xdr:col>
                <xdr:colOff>488950</xdr:colOff>
                <xdr:row>77</xdr:row>
                <xdr:rowOff>19050</xdr:rowOff>
              </from>
              <to>
                <xdr:col>5</xdr:col>
                <xdr:colOff>654050</xdr:colOff>
                <xdr:row>78</xdr:row>
                <xdr:rowOff>6350</xdr:rowOff>
              </to>
            </anchor>
          </controlPr>
        </control>
      </mc:Choice>
      <mc:Fallback>
        <control shapeId="24636" r:id="rId59" name="OptionButton53"/>
      </mc:Fallback>
    </mc:AlternateContent>
    <mc:AlternateContent xmlns:mc="http://schemas.openxmlformats.org/markup-compatibility/2006">
      <mc:Choice Requires="x14">
        <control shapeId="24637" r:id="rId60" name="OptionButton54">
          <controlPr defaultSize="0" altText="" r:id="rId6">
            <anchor moveWithCells="1">
              <from>
                <xdr:col>5</xdr:col>
                <xdr:colOff>488950</xdr:colOff>
                <xdr:row>81</xdr:row>
                <xdr:rowOff>57150</xdr:rowOff>
              </from>
              <to>
                <xdr:col>5</xdr:col>
                <xdr:colOff>654050</xdr:colOff>
                <xdr:row>82</xdr:row>
                <xdr:rowOff>44450</xdr:rowOff>
              </to>
            </anchor>
          </controlPr>
        </control>
      </mc:Choice>
      <mc:Fallback>
        <control shapeId="24637" r:id="rId60" name="OptionButton54"/>
      </mc:Fallback>
    </mc:AlternateContent>
    <mc:AlternateContent xmlns:mc="http://schemas.openxmlformats.org/markup-compatibility/2006">
      <mc:Choice Requires="x14">
        <control shapeId="24638" r:id="rId61" name="OptionButton55">
          <controlPr defaultSize="0" altText="" r:id="rId9">
            <anchor moveWithCells="1">
              <from>
                <xdr:col>5</xdr:col>
                <xdr:colOff>488950</xdr:colOff>
                <xdr:row>83</xdr:row>
                <xdr:rowOff>69850</xdr:rowOff>
              </from>
              <to>
                <xdr:col>5</xdr:col>
                <xdr:colOff>647700</xdr:colOff>
                <xdr:row>84</xdr:row>
                <xdr:rowOff>69850</xdr:rowOff>
              </to>
            </anchor>
          </controlPr>
        </control>
      </mc:Choice>
      <mc:Fallback>
        <control shapeId="24638" r:id="rId61" name="OptionButton55"/>
      </mc:Fallback>
    </mc:AlternateContent>
    <mc:AlternateContent xmlns:mc="http://schemas.openxmlformats.org/markup-compatibility/2006">
      <mc:Choice Requires="x14">
        <control shapeId="24639" r:id="rId62" name="OptionButton56">
          <controlPr defaultSize="0" altText="" r:id="rId9">
            <anchor moveWithCells="1">
              <from>
                <xdr:col>5</xdr:col>
                <xdr:colOff>488950</xdr:colOff>
                <xdr:row>87</xdr:row>
                <xdr:rowOff>222250</xdr:rowOff>
              </from>
              <to>
                <xdr:col>5</xdr:col>
                <xdr:colOff>647700</xdr:colOff>
                <xdr:row>88</xdr:row>
                <xdr:rowOff>25400</xdr:rowOff>
              </to>
            </anchor>
          </controlPr>
        </control>
      </mc:Choice>
      <mc:Fallback>
        <control shapeId="24639" r:id="rId62" name="OptionButton56"/>
      </mc:Fallback>
    </mc:AlternateContent>
    <mc:AlternateContent xmlns:mc="http://schemas.openxmlformats.org/markup-compatibility/2006">
      <mc:Choice Requires="x14">
        <control shapeId="24646" r:id="rId63" name="OptionButton60">
          <controlPr defaultSize="0" altText="" r:id="rId24">
            <anchor moveWithCells="1">
              <from>
                <xdr:col>5</xdr:col>
                <xdr:colOff>488950</xdr:colOff>
                <xdr:row>95</xdr:row>
                <xdr:rowOff>31750</xdr:rowOff>
              </from>
              <to>
                <xdr:col>5</xdr:col>
                <xdr:colOff>647700</xdr:colOff>
                <xdr:row>95</xdr:row>
                <xdr:rowOff>215900</xdr:rowOff>
              </to>
            </anchor>
          </controlPr>
        </control>
      </mc:Choice>
      <mc:Fallback>
        <control shapeId="24646" r:id="rId63" name="OptionButton60"/>
      </mc:Fallback>
    </mc:AlternateContent>
    <mc:AlternateContent xmlns:mc="http://schemas.openxmlformats.org/markup-compatibility/2006">
      <mc:Choice Requires="x14">
        <control shapeId="24647" r:id="rId64" name="OptionButton61">
          <controlPr defaultSize="0" altText="" r:id="rId45">
            <anchor moveWithCells="1">
              <from>
                <xdr:col>5</xdr:col>
                <xdr:colOff>488950</xdr:colOff>
                <xdr:row>99</xdr:row>
                <xdr:rowOff>209550</xdr:rowOff>
              </from>
              <to>
                <xdr:col>5</xdr:col>
                <xdr:colOff>654050</xdr:colOff>
                <xdr:row>100</xdr:row>
                <xdr:rowOff>12700</xdr:rowOff>
              </to>
            </anchor>
          </controlPr>
        </control>
      </mc:Choice>
      <mc:Fallback>
        <control shapeId="24647" r:id="rId64" name="OptionButton61"/>
      </mc:Fallback>
    </mc:AlternateContent>
    <mc:AlternateContent xmlns:mc="http://schemas.openxmlformats.org/markup-compatibility/2006">
      <mc:Choice Requires="x14">
        <control shapeId="24651" r:id="rId65" name="OptionButton65">
          <controlPr defaultSize="0" altText="" r:id="rId6">
            <anchor moveWithCells="1">
              <from>
                <xdr:col>5</xdr:col>
                <xdr:colOff>488950</xdr:colOff>
                <xdr:row>124</xdr:row>
                <xdr:rowOff>0</xdr:rowOff>
              </from>
              <to>
                <xdr:col>5</xdr:col>
                <xdr:colOff>654050</xdr:colOff>
                <xdr:row>124</xdr:row>
                <xdr:rowOff>184150</xdr:rowOff>
              </to>
            </anchor>
          </controlPr>
        </control>
      </mc:Choice>
      <mc:Fallback>
        <control shapeId="24651" r:id="rId65" name="OptionButton65"/>
      </mc:Fallback>
    </mc:AlternateContent>
    <mc:AlternateContent xmlns:mc="http://schemas.openxmlformats.org/markup-compatibility/2006">
      <mc:Choice Requires="x14">
        <control shapeId="24652" r:id="rId66" name="OptionButton66">
          <controlPr defaultSize="0" altText="" r:id="rId6">
            <anchor moveWithCells="1">
              <from>
                <xdr:col>5</xdr:col>
                <xdr:colOff>488950</xdr:colOff>
                <xdr:row>131</xdr:row>
                <xdr:rowOff>374650</xdr:rowOff>
              </from>
              <to>
                <xdr:col>5</xdr:col>
                <xdr:colOff>654050</xdr:colOff>
                <xdr:row>132</xdr:row>
                <xdr:rowOff>177800</xdr:rowOff>
              </to>
            </anchor>
          </controlPr>
        </control>
      </mc:Choice>
      <mc:Fallback>
        <control shapeId="24652" r:id="rId66" name="OptionButton66"/>
      </mc:Fallback>
    </mc:AlternateContent>
    <mc:AlternateContent xmlns:mc="http://schemas.openxmlformats.org/markup-compatibility/2006">
      <mc:Choice Requires="x14">
        <control shapeId="24653" r:id="rId67" name="OptionButton67">
          <controlPr defaultSize="0" altText="" r:id="rId24">
            <anchor moveWithCells="1">
              <from>
                <xdr:col>5</xdr:col>
                <xdr:colOff>476250</xdr:colOff>
                <xdr:row>137</xdr:row>
                <xdr:rowOff>69850</xdr:rowOff>
              </from>
              <to>
                <xdr:col>5</xdr:col>
                <xdr:colOff>635000</xdr:colOff>
                <xdr:row>138</xdr:row>
                <xdr:rowOff>69850</xdr:rowOff>
              </to>
            </anchor>
          </controlPr>
        </control>
      </mc:Choice>
      <mc:Fallback>
        <control shapeId="24653" r:id="rId67" name="OptionButton67"/>
      </mc:Fallback>
    </mc:AlternateContent>
    <mc:AlternateContent xmlns:mc="http://schemas.openxmlformats.org/markup-compatibility/2006">
      <mc:Choice Requires="x14">
        <control shapeId="24654" r:id="rId68" name="OptionButton68">
          <controlPr defaultSize="0" altText="" r:id="rId9">
            <anchor moveWithCells="1">
              <from>
                <xdr:col>5</xdr:col>
                <xdr:colOff>469900</xdr:colOff>
                <xdr:row>141</xdr:row>
                <xdr:rowOff>69850</xdr:rowOff>
              </from>
              <to>
                <xdr:col>5</xdr:col>
                <xdr:colOff>628650</xdr:colOff>
                <xdr:row>141</xdr:row>
                <xdr:rowOff>254000</xdr:rowOff>
              </to>
            </anchor>
          </controlPr>
        </control>
      </mc:Choice>
      <mc:Fallback>
        <control shapeId="24654" r:id="rId68" name="OptionButton68"/>
      </mc:Fallback>
    </mc:AlternateContent>
    <mc:AlternateContent xmlns:mc="http://schemas.openxmlformats.org/markup-compatibility/2006">
      <mc:Choice Requires="x14">
        <control shapeId="24655" r:id="rId69" name="OptionButton69">
          <controlPr defaultSize="0" altText="" r:id="rId6">
            <anchor moveWithCells="1">
              <from>
                <xdr:col>5</xdr:col>
                <xdr:colOff>469900</xdr:colOff>
                <xdr:row>145</xdr:row>
                <xdr:rowOff>69850</xdr:rowOff>
              </from>
              <to>
                <xdr:col>5</xdr:col>
                <xdr:colOff>635000</xdr:colOff>
                <xdr:row>145</xdr:row>
                <xdr:rowOff>254000</xdr:rowOff>
              </to>
            </anchor>
          </controlPr>
        </control>
      </mc:Choice>
      <mc:Fallback>
        <control shapeId="24655" r:id="rId69" name="OptionButton69"/>
      </mc:Fallback>
    </mc:AlternateContent>
    <mc:AlternateContent xmlns:mc="http://schemas.openxmlformats.org/markup-compatibility/2006">
      <mc:Choice Requires="x14">
        <control shapeId="24656" r:id="rId70" name="OptionButton70">
          <controlPr defaultSize="0" altText="" r:id="rId6">
            <anchor moveWithCells="1">
              <from>
                <xdr:col>5</xdr:col>
                <xdr:colOff>476250</xdr:colOff>
                <xdr:row>148</xdr:row>
                <xdr:rowOff>304800</xdr:rowOff>
              </from>
              <to>
                <xdr:col>5</xdr:col>
                <xdr:colOff>641350</xdr:colOff>
                <xdr:row>149</xdr:row>
                <xdr:rowOff>158750</xdr:rowOff>
              </to>
            </anchor>
          </controlPr>
        </control>
      </mc:Choice>
      <mc:Fallback>
        <control shapeId="24656" r:id="rId70" name="OptionButton70"/>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L37"/>
  <sheetViews>
    <sheetView view="pageBreakPreview" zoomScale="50" zoomScaleNormal="100" zoomScaleSheetLayoutView="50" workbookViewId="0">
      <selection activeCell="I13" sqref="I13:I14"/>
    </sheetView>
  </sheetViews>
  <sheetFormatPr defaultColWidth="9" defaultRowHeight="14.5"/>
  <cols>
    <col min="1" max="1" width="20.81640625" customWidth="1"/>
    <col min="2" max="2" width="15.81640625" style="147" customWidth="1"/>
    <col min="3" max="3" width="3" style="148" customWidth="1"/>
    <col min="4" max="4" width="97.26953125" style="43" customWidth="1"/>
    <col min="5" max="5" width="29.54296875" style="149" customWidth="1"/>
    <col min="6" max="6" width="17" style="147" customWidth="1"/>
    <col min="7" max="7" width="3" style="148" customWidth="1"/>
    <col min="8" max="8" width="99" style="43" customWidth="1"/>
    <col min="9" max="9" width="14.26953125" style="149" customWidth="1"/>
    <col min="11" max="11" width="45" customWidth="1"/>
    <col min="12" max="12" width="12" customWidth="1"/>
  </cols>
  <sheetData>
    <row r="1" spans="1:12" ht="30" customHeight="1">
      <c r="A1" s="368" t="s">
        <v>560</v>
      </c>
      <c r="B1" s="369"/>
      <c r="C1" s="369"/>
      <c r="D1" s="369"/>
      <c r="E1" s="369"/>
      <c r="F1" s="369"/>
      <c r="G1" s="369"/>
      <c r="H1" s="369"/>
      <c r="I1" s="370"/>
    </row>
    <row r="2" spans="1:12">
      <c r="A2" s="558" t="s">
        <v>2</v>
      </c>
      <c r="B2" s="559"/>
      <c r="C2" s="559"/>
      <c r="D2" s="559"/>
      <c r="E2" s="559"/>
      <c r="F2" s="559"/>
      <c r="G2" s="559"/>
      <c r="H2" s="559"/>
      <c r="I2" s="560"/>
    </row>
    <row r="3" spans="1:12">
      <c r="A3" s="561"/>
      <c r="B3" s="562"/>
      <c r="C3" s="562"/>
      <c r="D3" s="562"/>
      <c r="E3" s="562"/>
      <c r="F3" s="562"/>
      <c r="G3" s="562"/>
      <c r="H3" s="562"/>
      <c r="I3" s="563"/>
    </row>
    <row r="4" spans="1:12">
      <c r="A4" s="551" t="s">
        <v>3</v>
      </c>
      <c r="B4" s="552"/>
      <c r="C4" s="552"/>
      <c r="D4" s="552"/>
      <c r="E4" s="552"/>
      <c r="F4" s="552"/>
      <c r="G4" s="552"/>
      <c r="H4" s="552"/>
      <c r="I4" s="553"/>
    </row>
    <row r="5" spans="1:12">
      <c r="A5" s="554"/>
      <c r="B5" s="555"/>
      <c r="C5" s="555"/>
      <c r="D5" s="555"/>
      <c r="E5" s="555"/>
      <c r="F5" s="555"/>
      <c r="G5" s="555"/>
      <c r="H5" s="555"/>
      <c r="I5" s="556"/>
    </row>
    <row r="6" spans="1:12" ht="15" thickBot="1">
      <c r="A6" s="566" t="s">
        <v>4</v>
      </c>
      <c r="B6" s="567"/>
      <c r="C6" s="567"/>
      <c r="D6" s="567"/>
      <c r="E6" s="567"/>
      <c r="F6" s="567"/>
      <c r="G6" s="567"/>
      <c r="H6" s="567"/>
      <c r="I6" s="568"/>
    </row>
    <row r="7" spans="1:12" ht="26.5" thickBot="1">
      <c r="A7" s="31" t="s">
        <v>306</v>
      </c>
      <c r="B7" s="32" t="s">
        <v>7</v>
      </c>
      <c r="C7" s="569" t="s">
        <v>8</v>
      </c>
      <c r="D7" s="569"/>
      <c r="E7" s="164" t="s">
        <v>708</v>
      </c>
      <c r="F7" s="90" t="s">
        <v>7</v>
      </c>
      <c r="G7" s="570" t="s">
        <v>9</v>
      </c>
      <c r="H7" s="571"/>
      <c r="I7" s="164" t="s">
        <v>708</v>
      </c>
    </row>
    <row r="8" spans="1:12">
      <c r="A8" s="572" t="s">
        <v>561</v>
      </c>
      <c r="B8" s="491" t="s">
        <v>11</v>
      </c>
      <c r="C8" s="150" t="s">
        <v>15</v>
      </c>
      <c r="D8" s="142" t="s">
        <v>562</v>
      </c>
      <c r="E8" s="133"/>
      <c r="F8" s="533" t="s">
        <v>11</v>
      </c>
      <c r="G8" s="150" t="s">
        <v>15</v>
      </c>
      <c r="H8" s="142" t="s">
        <v>563</v>
      </c>
      <c r="I8" s="134"/>
      <c r="K8" s="43"/>
      <c r="L8" s="156"/>
    </row>
    <row r="9" spans="1:12" ht="26">
      <c r="A9" s="573"/>
      <c r="B9" s="492"/>
      <c r="C9" s="26" t="s">
        <v>19</v>
      </c>
      <c r="D9" s="102" t="s">
        <v>564</v>
      </c>
      <c r="E9" s="126"/>
      <c r="F9" s="534"/>
      <c r="G9" s="26" t="s">
        <v>19</v>
      </c>
      <c r="H9" s="102" t="s">
        <v>565</v>
      </c>
      <c r="I9" s="136"/>
      <c r="K9" s="43"/>
      <c r="L9" s="156"/>
    </row>
    <row r="10" spans="1:12">
      <c r="A10" s="573"/>
      <c r="B10" s="492"/>
      <c r="C10" s="26" t="s">
        <v>24</v>
      </c>
      <c r="D10" s="102" t="s">
        <v>566</v>
      </c>
      <c r="E10" s="126"/>
      <c r="F10" s="534"/>
      <c r="G10" s="26" t="s">
        <v>24</v>
      </c>
      <c r="H10" s="102" t="s">
        <v>56</v>
      </c>
      <c r="I10" s="136"/>
      <c r="K10" s="43"/>
      <c r="L10" s="156"/>
    </row>
    <row r="11" spans="1:12">
      <c r="A11" s="573"/>
      <c r="B11" s="492"/>
      <c r="C11" s="26" t="s">
        <v>36</v>
      </c>
      <c r="D11" s="102" t="s">
        <v>567</v>
      </c>
      <c r="E11" s="126"/>
      <c r="F11" s="534"/>
      <c r="G11" s="528" t="s">
        <v>36</v>
      </c>
      <c r="H11" s="453" t="s">
        <v>568</v>
      </c>
      <c r="I11" s="506"/>
    </row>
    <row r="12" spans="1:12">
      <c r="A12" s="573"/>
      <c r="B12" s="492"/>
      <c r="C12" s="26" t="s">
        <v>61</v>
      </c>
      <c r="D12" s="102" t="s">
        <v>569</v>
      </c>
      <c r="E12" s="126"/>
      <c r="F12" s="534"/>
      <c r="G12" s="529"/>
      <c r="H12" s="454"/>
      <c r="I12" s="505"/>
    </row>
    <row r="13" spans="1:12">
      <c r="A13" s="573"/>
      <c r="B13" s="492"/>
      <c r="C13" s="26" t="s">
        <v>80</v>
      </c>
      <c r="D13" s="102" t="s">
        <v>570</v>
      </c>
      <c r="E13" s="126"/>
      <c r="F13" s="534"/>
      <c r="G13" s="528" t="s">
        <v>61</v>
      </c>
      <c r="H13" s="453" t="s">
        <v>571</v>
      </c>
      <c r="I13" s="564"/>
    </row>
    <row r="14" spans="1:12">
      <c r="A14" s="573"/>
      <c r="B14" s="492"/>
      <c r="C14" s="26" t="s">
        <v>120</v>
      </c>
      <c r="D14" s="102" t="s">
        <v>572</v>
      </c>
      <c r="E14" s="126"/>
      <c r="F14" s="535"/>
      <c r="G14" s="529"/>
      <c r="H14" s="454"/>
      <c r="I14" s="565"/>
    </row>
    <row r="15" spans="1:12" ht="26">
      <c r="A15" s="573"/>
      <c r="B15" s="525" t="s">
        <v>14</v>
      </c>
      <c r="C15" s="26" t="s">
        <v>15</v>
      </c>
      <c r="D15" s="102" t="s">
        <v>573</v>
      </c>
      <c r="E15" s="126"/>
      <c r="F15" s="525" t="s">
        <v>14</v>
      </c>
      <c r="G15" s="26" t="s">
        <v>15</v>
      </c>
      <c r="H15" s="137" t="s">
        <v>574</v>
      </c>
      <c r="I15" s="506"/>
    </row>
    <row r="16" spans="1:12">
      <c r="A16" s="573"/>
      <c r="B16" s="525"/>
      <c r="C16" s="26" t="s">
        <v>19</v>
      </c>
      <c r="D16" s="102" t="s">
        <v>575</v>
      </c>
      <c r="E16" s="126"/>
      <c r="F16" s="525"/>
      <c r="G16" s="26" t="s">
        <v>19</v>
      </c>
      <c r="H16" s="137" t="s">
        <v>576</v>
      </c>
      <c r="I16" s="504"/>
    </row>
    <row r="17" spans="1:9">
      <c r="A17" s="573"/>
      <c r="B17" s="525"/>
      <c r="C17" s="26" t="s">
        <v>24</v>
      </c>
      <c r="D17" s="102" t="s">
        <v>566</v>
      </c>
      <c r="E17" s="126"/>
      <c r="F17" s="525"/>
      <c r="G17" s="528" t="s">
        <v>24</v>
      </c>
      <c r="H17" s="518" t="s">
        <v>56</v>
      </c>
      <c r="I17" s="504"/>
    </row>
    <row r="18" spans="1:9">
      <c r="A18" s="573"/>
      <c r="B18" s="525"/>
      <c r="C18" s="26" t="s">
        <v>36</v>
      </c>
      <c r="D18" s="102" t="s">
        <v>577</v>
      </c>
      <c r="E18" s="126"/>
      <c r="F18" s="525"/>
      <c r="G18" s="529"/>
      <c r="H18" s="519"/>
      <c r="I18" s="504"/>
    </row>
    <row r="19" spans="1:9">
      <c r="A19" s="573"/>
      <c r="B19" s="525"/>
      <c r="C19" s="26" t="s">
        <v>61</v>
      </c>
      <c r="D19" s="102" t="s">
        <v>578</v>
      </c>
      <c r="E19" s="126"/>
      <c r="F19" s="525"/>
      <c r="G19" s="528" t="s">
        <v>36</v>
      </c>
      <c r="H19" s="518" t="s">
        <v>579</v>
      </c>
      <c r="I19" s="504"/>
    </row>
    <row r="20" spans="1:9">
      <c r="A20" s="573"/>
      <c r="B20" s="525"/>
      <c r="C20" s="26" t="s">
        <v>80</v>
      </c>
      <c r="D20" s="102" t="s">
        <v>580</v>
      </c>
      <c r="E20" s="126"/>
      <c r="F20" s="525"/>
      <c r="G20" s="529"/>
      <c r="H20" s="519"/>
      <c r="I20" s="505"/>
    </row>
    <row r="21" spans="1:9" ht="26">
      <c r="A21" s="573"/>
      <c r="B21" s="497" t="s">
        <v>17</v>
      </c>
      <c r="C21" s="26" t="s">
        <v>15</v>
      </c>
      <c r="D21" s="102" t="s">
        <v>581</v>
      </c>
      <c r="E21" s="126"/>
      <c r="F21" s="497" t="s">
        <v>17</v>
      </c>
      <c r="G21" s="26" t="s">
        <v>15</v>
      </c>
      <c r="H21" s="102" t="s">
        <v>574</v>
      </c>
      <c r="I21" s="506"/>
    </row>
    <row r="22" spans="1:9" ht="26">
      <c r="A22" s="573"/>
      <c r="B22" s="497"/>
      <c r="C22" s="26" t="s">
        <v>19</v>
      </c>
      <c r="D22" s="102" t="s">
        <v>582</v>
      </c>
      <c r="E22" s="126"/>
      <c r="F22" s="497"/>
      <c r="G22" s="26" t="s">
        <v>19</v>
      </c>
      <c r="H22" s="102" t="s">
        <v>583</v>
      </c>
      <c r="I22" s="504"/>
    </row>
    <row r="23" spans="1:9">
      <c r="A23" s="573"/>
      <c r="B23" s="497"/>
      <c r="C23" s="26" t="s">
        <v>24</v>
      </c>
      <c r="D23" s="102" t="s">
        <v>584</v>
      </c>
      <c r="E23" s="126"/>
      <c r="F23" s="497"/>
      <c r="G23" s="26" t="s">
        <v>24</v>
      </c>
      <c r="H23" s="102" t="s">
        <v>56</v>
      </c>
      <c r="I23" s="504"/>
    </row>
    <row r="24" spans="1:9">
      <c r="A24" s="573"/>
      <c r="B24" s="497"/>
      <c r="C24" s="26" t="s">
        <v>36</v>
      </c>
      <c r="D24" s="102" t="s">
        <v>577</v>
      </c>
      <c r="E24" s="126"/>
      <c r="F24" s="497"/>
      <c r="G24" s="26" t="s">
        <v>36</v>
      </c>
      <c r="H24" s="102" t="s">
        <v>585</v>
      </c>
      <c r="I24" s="504"/>
    </row>
    <row r="25" spans="1:9">
      <c r="A25" s="573"/>
      <c r="B25" s="497"/>
      <c r="C25" s="26" t="s">
        <v>61</v>
      </c>
      <c r="D25" s="102" t="s">
        <v>586</v>
      </c>
      <c r="E25" s="126"/>
      <c r="F25" s="497"/>
      <c r="G25" s="26" t="s">
        <v>61</v>
      </c>
      <c r="H25" s="27" t="s">
        <v>472</v>
      </c>
      <c r="I25" s="505"/>
    </row>
    <row r="26" spans="1:9" ht="30" customHeight="1">
      <c r="A26" s="573"/>
      <c r="B26" s="493" t="s">
        <v>22</v>
      </c>
      <c r="C26" s="26" t="s">
        <v>15</v>
      </c>
      <c r="D26" s="102" t="s">
        <v>587</v>
      </c>
      <c r="E26" s="126"/>
      <c r="F26" s="493" t="s">
        <v>22</v>
      </c>
      <c r="G26" s="528" t="s">
        <v>15</v>
      </c>
      <c r="H26" s="453" t="s">
        <v>574</v>
      </c>
      <c r="I26" s="502"/>
    </row>
    <row r="27" spans="1:9">
      <c r="A27" s="573"/>
      <c r="B27" s="493"/>
      <c r="C27" s="26" t="s">
        <v>19</v>
      </c>
      <c r="D27" s="102" t="s">
        <v>588</v>
      </c>
      <c r="E27" s="126"/>
      <c r="F27" s="493"/>
      <c r="G27" s="530"/>
      <c r="H27" s="460"/>
      <c r="I27" s="502"/>
    </row>
    <row r="28" spans="1:9">
      <c r="A28" s="573"/>
      <c r="B28" s="493"/>
      <c r="C28" s="26" t="s">
        <v>24</v>
      </c>
      <c r="D28" s="102" t="s">
        <v>589</v>
      </c>
      <c r="E28" s="126"/>
      <c r="F28" s="493"/>
      <c r="G28" s="529"/>
      <c r="H28" s="454"/>
      <c r="I28" s="502"/>
    </row>
    <row r="29" spans="1:9" ht="39">
      <c r="A29" s="573"/>
      <c r="B29" s="493"/>
      <c r="C29" s="26" t="s">
        <v>36</v>
      </c>
      <c r="D29" s="102" t="s">
        <v>590</v>
      </c>
      <c r="E29" s="126"/>
      <c r="F29" s="493"/>
      <c r="G29" s="528" t="s">
        <v>19</v>
      </c>
      <c r="H29" s="453" t="s">
        <v>591</v>
      </c>
      <c r="I29" s="504"/>
    </row>
    <row r="30" spans="1:9">
      <c r="A30" s="573"/>
      <c r="B30" s="493"/>
      <c r="C30" s="26" t="s">
        <v>61</v>
      </c>
      <c r="D30" s="102" t="s">
        <v>592</v>
      </c>
      <c r="E30" s="126"/>
      <c r="F30" s="493"/>
      <c r="G30" s="529"/>
      <c r="H30" s="454"/>
      <c r="I30" s="505"/>
    </row>
    <row r="31" spans="1:9" ht="30" customHeight="1">
      <c r="A31" s="573"/>
      <c r="B31" s="489" t="s">
        <v>26</v>
      </c>
      <c r="C31" s="26" t="s">
        <v>15</v>
      </c>
      <c r="D31" s="102" t="s">
        <v>593</v>
      </c>
      <c r="E31" s="126"/>
      <c r="F31" s="489" t="s">
        <v>26</v>
      </c>
      <c r="G31" s="528" t="s">
        <v>15</v>
      </c>
      <c r="H31" s="453" t="s">
        <v>574</v>
      </c>
      <c r="I31" s="506"/>
    </row>
    <row r="32" spans="1:9">
      <c r="A32" s="573"/>
      <c r="B32" s="489"/>
      <c r="C32" s="26" t="s">
        <v>19</v>
      </c>
      <c r="D32" s="102" t="s">
        <v>594</v>
      </c>
      <c r="E32" s="126"/>
      <c r="F32" s="489"/>
      <c r="G32" s="530"/>
      <c r="H32" s="460"/>
      <c r="I32" s="504"/>
    </row>
    <row r="33" spans="1:9">
      <c r="A33" s="573"/>
      <c r="B33" s="489"/>
      <c r="C33" s="26" t="s">
        <v>24</v>
      </c>
      <c r="D33" s="102" t="s">
        <v>595</v>
      </c>
      <c r="E33" s="126"/>
      <c r="F33" s="489"/>
      <c r="G33" s="529"/>
      <c r="H33" s="454"/>
      <c r="I33" s="505"/>
    </row>
    <row r="34" spans="1:9" ht="39">
      <c r="A34" s="573"/>
      <c r="B34" s="489"/>
      <c r="C34" s="26" t="s">
        <v>36</v>
      </c>
      <c r="D34" s="102" t="s">
        <v>596</v>
      </c>
      <c r="E34" s="126"/>
      <c r="F34" s="489"/>
      <c r="G34" s="528" t="s">
        <v>19</v>
      </c>
      <c r="H34" s="453" t="s">
        <v>597</v>
      </c>
      <c r="I34" s="506"/>
    </row>
    <row r="35" spans="1:9">
      <c r="A35" s="574"/>
      <c r="B35" s="490"/>
      <c r="C35" s="29" t="s">
        <v>61</v>
      </c>
      <c r="D35" s="144" t="s">
        <v>598</v>
      </c>
      <c r="E35" s="131"/>
      <c r="F35" s="490"/>
      <c r="G35" s="531"/>
      <c r="H35" s="524"/>
      <c r="I35" s="557"/>
    </row>
    <row r="36" spans="1:9" ht="15" customHeight="1">
      <c r="A36" s="551" t="s">
        <v>3</v>
      </c>
      <c r="B36" s="552"/>
      <c r="C36" s="552"/>
      <c r="D36" s="552"/>
      <c r="E36" s="552"/>
      <c r="F36" s="552"/>
      <c r="G36" s="552"/>
      <c r="H36" s="552"/>
      <c r="I36" s="553"/>
    </row>
    <row r="37" spans="1:9" ht="27.75" customHeight="1">
      <c r="A37" s="554"/>
      <c r="B37" s="555"/>
      <c r="C37" s="555"/>
      <c r="D37" s="555"/>
      <c r="E37" s="555"/>
      <c r="F37" s="555"/>
      <c r="G37" s="555"/>
      <c r="H37" s="555"/>
      <c r="I37" s="556"/>
    </row>
  </sheetData>
  <mergeCells count="42">
    <mergeCell ref="A1:I1"/>
    <mergeCell ref="A6:I6"/>
    <mergeCell ref="C7:D7"/>
    <mergeCell ref="G7:H7"/>
    <mergeCell ref="A8:A35"/>
    <mergeCell ref="B8:B14"/>
    <mergeCell ref="B15:B20"/>
    <mergeCell ref="B21:B25"/>
    <mergeCell ref="B26:B30"/>
    <mergeCell ref="B31:B35"/>
    <mergeCell ref="F8:F14"/>
    <mergeCell ref="F15:F20"/>
    <mergeCell ref="F21:F25"/>
    <mergeCell ref="F26:F30"/>
    <mergeCell ref="F31:F35"/>
    <mergeCell ref="G11:G12"/>
    <mergeCell ref="G13:G14"/>
    <mergeCell ref="G17:G18"/>
    <mergeCell ref="G19:G20"/>
    <mergeCell ref="G26:G28"/>
    <mergeCell ref="G29:G30"/>
    <mergeCell ref="H19:H20"/>
    <mergeCell ref="H26:H28"/>
    <mergeCell ref="H29:H30"/>
    <mergeCell ref="H31:H33"/>
    <mergeCell ref="H34:H35"/>
    <mergeCell ref="A36:I37"/>
    <mergeCell ref="I29:I30"/>
    <mergeCell ref="I31:I33"/>
    <mergeCell ref="I34:I35"/>
    <mergeCell ref="A2:I3"/>
    <mergeCell ref="A4:I5"/>
    <mergeCell ref="I11:I12"/>
    <mergeCell ref="I13:I14"/>
    <mergeCell ref="I15:I20"/>
    <mergeCell ref="I21:I25"/>
    <mergeCell ref="I26:I28"/>
    <mergeCell ref="G31:G33"/>
    <mergeCell ref="G34:G35"/>
    <mergeCell ref="H11:H12"/>
    <mergeCell ref="H13:H14"/>
    <mergeCell ref="H17:H18"/>
  </mergeCells>
  <pageMargins left="0.7" right="0.7" top="0.75" bottom="0.75" header="0.3" footer="0.3"/>
  <pageSetup paperSize="9" scale="29" fitToHeight="0" orientation="portrait" r:id="rId1"/>
  <customProperties>
    <customPr name="EpmWorksheetKeyString_GUID" r:id="rId2"/>
  </customProperties>
  <drawing r:id="rId3"/>
  <legacyDrawing r:id="rId4"/>
  <controls>
    <mc:AlternateContent xmlns:mc="http://schemas.openxmlformats.org/markup-compatibility/2006">
      <mc:Choice Requires="x14">
        <control shapeId="25601" r:id="rId5" name="OptionButton1">
          <controlPr defaultSize="0" altText="" r:id="rId6">
            <anchor moveWithCells="1">
              <from>
                <xdr:col>1</xdr:col>
                <xdr:colOff>450850</xdr:colOff>
                <xdr:row>8</xdr:row>
                <xdr:rowOff>184150</xdr:rowOff>
              </from>
              <to>
                <xdr:col>1</xdr:col>
                <xdr:colOff>615950</xdr:colOff>
                <xdr:row>9</xdr:row>
                <xdr:rowOff>38100</xdr:rowOff>
              </to>
            </anchor>
          </controlPr>
        </control>
      </mc:Choice>
      <mc:Fallback>
        <control shapeId="25601" r:id="rId5" name="OptionButton1"/>
      </mc:Fallback>
    </mc:AlternateContent>
    <mc:AlternateContent xmlns:mc="http://schemas.openxmlformats.org/markup-compatibility/2006">
      <mc:Choice Requires="x14">
        <control shapeId="25602" r:id="rId7" name="OptionButton2">
          <controlPr defaultSize="0" altText="" r:id="rId8">
            <anchor moveWithCells="1">
              <from>
                <xdr:col>1</xdr:col>
                <xdr:colOff>412750</xdr:colOff>
                <xdr:row>15</xdr:row>
                <xdr:rowOff>0</xdr:rowOff>
              </from>
              <to>
                <xdr:col>1</xdr:col>
                <xdr:colOff>571500</xdr:colOff>
                <xdr:row>16</xdr:row>
                <xdr:rowOff>0</xdr:rowOff>
              </to>
            </anchor>
          </controlPr>
        </control>
      </mc:Choice>
      <mc:Fallback>
        <control shapeId="25602" r:id="rId7" name="OptionButton2"/>
      </mc:Fallback>
    </mc:AlternateContent>
    <mc:AlternateContent xmlns:mc="http://schemas.openxmlformats.org/markup-compatibility/2006">
      <mc:Choice Requires="x14">
        <control shapeId="25603" r:id="rId9" name="OptionButton3">
          <controlPr defaultSize="0" altText="" r:id="rId10">
            <anchor moveWithCells="1">
              <from>
                <xdr:col>1</xdr:col>
                <xdr:colOff>419100</xdr:colOff>
                <xdr:row>21</xdr:row>
                <xdr:rowOff>0</xdr:rowOff>
              </from>
              <to>
                <xdr:col>1</xdr:col>
                <xdr:colOff>577850</xdr:colOff>
                <xdr:row>21</xdr:row>
                <xdr:rowOff>184150</xdr:rowOff>
              </to>
            </anchor>
          </controlPr>
        </control>
      </mc:Choice>
      <mc:Fallback>
        <control shapeId="25603" r:id="rId9" name="OptionButton3"/>
      </mc:Fallback>
    </mc:AlternateContent>
    <mc:AlternateContent xmlns:mc="http://schemas.openxmlformats.org/markup-compatibility/2006">
      <mc:Choice Requires="x14">
        <control shapeId="25604" r:id="rId11" name="OptionButton4">
          <controlPr defaultSize="0" altText="" r:id="rId6">
            <anchor moveWithCells="1">
              <from>
                <xdr:col>1</xdr:col>
                <xdr:colOff>457200</xdr:colOff>
                <xdr:row>26</xdr:row>
                <xdr:rowOff>76200</xdr:rowOff>
              </from>
              <to>
                <xdr:col>1</xdr:col>
                <xdr:colOff>622300</xdr:colOff>
                <xdr:row>27</xdr:row>
                <xdr:rowOff>76200</xdr:rowOff>
              </to>
            </anchor>
          </controlPr>
        </control>
      </mc:Choice>
      <mc:Fallback>
        <control shapeId="25604" r:id="rId11" name="OptionButton4"/>
      </mc:Fallback>
    </mc:AlternateContent>
    <mc:AlternateContent xmlns:mc="http://schemas.openxmlformats.org/markup-compatibility/2006">
      <mc:Choice Requires="x14">
        <control shapeId="25605" r:id="rId12" name="OptionButton5">
          <controlPr defaultSize="0" altText="" r:id="rId6">
            <anchor moveWithCells="1">
              <from>
                <xdr:col>1</xdr:col>
                <xdr:colOff>438150</xdr:colOff>
                <xdr:row>31</xdr:row>
                <xdr:rowOff>95250</xdr:rowOff>
              </from>
              <to>
                <xdr:col>1</xdr:col>
                <xdr:colOff>603250</xdr:colOff>
                <xdr:row>32</xdr:row>
                <xdr:rowOff>95250</xdr:rowOff>
              </to>
            </anchor>
          </controlPr>
        </control>
      </mc:Choice>
      <mc:Fallback>
        <control shapeId="25605" r:id="rId12" name="OptionButton5"/>
      </mc:Fallback>
    </mc:AlternateContent>
    <mc:AlternateContent xmlns:mc="http://schemas.openxmlformats.org/markup-compatibility/2006">
      <mc:Choice Requires="x14">
        <control shapeId="25606" r:id="rId13" name="OptionButton6">
          <controlPr defaultSize="0" altText="" r:id="rId6">
            <anchor moveWithCells="1">
              <from>
                <xdr:col>5</xdr:col>
                <xdr:colOff>469900</xdr:colOff>
                <xdr:row>8</xdr:row>
                <xdr:rowOff>171450</xdr:rowOff>
              </from>
              <to>
                <xdr:col>5</xdr:col>
                <xdr:colOff>635000</xdr:colOff>
                <xdr:row>9</xdr:row>
                <xdr:rowOff>25400</xdr:rowOff>
              </to>
            </anchor>
          </controlPr>
        </control>
      </mc:Choice>
      <mc:Fallback>
        <control shapeId="25606" r:id="rId13" name="OptionButton6"/>
      </mc:Fallback>
    </mc:AlternateContent>
    <mc:AlternateContent xmlns:mc="http://schemas.openxmlformats.org/markup-compatibility/2006">
      <mc:Choice Requires="x14">
        <control shapeId="25607" r:id="rId14" name="OptionButton7">
          <controlPr defaultSize="0" altText="" r:id="rId8">
            <anchor moveWithCells="1">
              <from>
                <xdr:col>5</xdr:col>
                <xdr:colOff>488950</xdr:colOff>
                <xdr:row>15</xdr:row>
                <xdr:rowOff>0</xdr:rowOff>
              </from>
              <to>
                <xdr:col>5</xdr:col>
                <xdr:colOff>647700</xdr:colOff>
                <xdr:row>16</xdr:row>
                <xdr:rowOff>0</xdr:rowOff>
              </to>
            </anchor>
          </controlPr>
        </control>
      </mc:Choice>
      <mc:Fallback>
        <control shapeId="25607" r:id="rId14" name="OptionButton7"/>
      </mc:Fallback>
    </mc:AlternateContent>
    <mc:AlternateContent xmlns:mc="http://schemas.openxmlformats.org/markup-compatibility/2006">
      <mc:Choice Requires="x14">
        <control shapeId="25608" r:id="rId15" name="OptionButton8">
          <controlPr defaultSize="0" altText="" r:id="rId10">
            <anchor moveWithCells="1">
              <from>
                <xdr:col>5</xdr:col>
                <xdr:colOff>476250</xdr:colOff>
                <xdr:row>21</xdr:row>
                <xdr:rowOff>0</xdr:rowOff>
              </from>
              <to>
                <xdr:col>5</xdr:col>
                <xdr:colOff>635000</xdr:colOff>
                <xdr:row>21</xdr:row>
                <xdr:rowOff>184150</xdr:rowOff>
              </to>
            </anchor>
          </controlPr>
        </control>
      </mc:Choice>
      <mc:Fallback>
        <control shapeId="25608" r:id="rId15" name="OptionButton8"/>
      </mc:Fallback>
    </mc:AlternateContent>
    <mc:AlternateContent xmlns:mc="http://schemas.openxmlformats.org/markup-compatibility/2006">
      <mc:Choice Requires="x14">
        <control shapeId="25609" r:id="rId16" name="OptionButton9">
          <controlPr defaultSize="0" altText="" r:id="rId10">
            <anchor moveWithCells="1">
              <from>
                <xdr:col>5</xdr:col>
                <xdr:colOff>508000</xdr:colOff>
                <xdr:row>26</xdr:row>
                <xdr:rowOff>57150</xdr:rowOff>
              </from>
              <to>
                <xdr:col>5</xdr:col>
                <xdr:colOff>666750</xdr:colOff>
                <xdr:row>27</xdr:row>
                <xdr:rowOff>57150</xdr:rowOff>
              </to>
            </anchor>
          </controlPr>
        </control>
      </mc:Choice>
      <mc:Fallback>
        <control shapeId="25609" r:id="rId16" name="OptionButton9"/>
      </mc:Fallback>
    </mc:AlternateContent>
    <mc:AlternateContent xmlns:mc="http://schemas.openxmlformats.org/markup-compatibility/2006">
      <mc:Choice Requires="x14">
        <control shapeId="25610" r:id="rId17" name="OptionButton10">
          <controlPr defaultSize="0" altText="" r:id="rId6">
            <anchor moveWithCells="1">
              <from>
                <xdr:col>5</xdr:col>
                <xdr:colOff>469900</xdr:colOff>
                <xdr:row>31</xdr:row>
                <xdr:rowOff>76200</xdr:rowOff>
              </from>
              <to>
                <xdr:col>5</xdr:col>
                <xdr:colOff>635000</xdr:colOff>
                <xdr:row>32</xdr:row>
                <xdr:rowOff>76200</xdr:rowOff>
              </to>
            </anchor>
          </controlPr>
        </control>
      </mc:Choice>
      <mc:Fallback>
        <control shapeId="25610" r:id="rId17" name="OptionButton10"/>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I27"/>
  <sheetViews>
    <sheetView view="pageBreakPreview" zoomScale="50" zoomScaleNormal="85" zoomScaleSheetLayoutView="50" workbookViewId="0">
      <selection activeCell="D17" sqref="D17:D18"/>
    </sheetView>
  </sheetViews>
  <sheetFormatPr defaultColWidth="9" defaultRowHeight="14.5"/>
  <cols>
    <col min="1" max="1" width="27.7265625" customWidth="1"/>
    <col min="2" max="2" width="29" customWidth="1"/>
    <col min="3" max="3" width="2.81640625" style="1" customWidth="1"/>
    <col min="4" max="4" width="87.7265625" customWidth="1"/>
    <col min="5" max="5" width="27.26953125" customWidth="1"/>
    <col min="6" max="6" width="31.453125" customWidth="1"/>
    <col min="7" max="7" width="3" style="1" customWidth="1"/>
    <col min="8" max="8" width="98.81640625" customWidth="1"/>
    <col min="9" max="9" width="17.54296875" customWidth="1"/>
  </cols>
  <sheetData>
    <row r="1" spans="1:9" ht="33" customHeight="1">
      <c r="A1" s="368" t="s">
        <v>599</v>
      </c>
      <c r="B1" s="369"/>
      <c r="C1" s="369"/>
      <c r="D1" s="369"/>
      <c r="E1" s="369"/>
      <c r="F1" s="369"/>
      <c r="G1" s="369"/>
      <c r="H1" s="369"/>
      <c r="I1" s="370"/>
    </row>
    <row r="2" spans="1:9">
      <c r="A2" s="558" t="s">
        <v>2</v>
      </c>
      <c r="B2" s="559"/>
      <c r="C2" s="559"/>
      <c r="D2" s="559"/>
      <c r="E2" s="559"/>
      <c r="F2" s="559"/>
      <c r="G2" s="559"/>
      <c r="H2" s="559"/>
      <c r="I2" s="560"/>
    </row>
    <row r="3" spans="1:9">
      <c r="A3" s="561"/>
      <c r="B3" s="562"/>
      <c r="C3" s="562"/>
      <c r="D3" s="562"/>
      <c r="E3" s="562"/>
      <c r="F3" s="562"/>
      <c r="G3" s="562"/>
      <c r="H3" s="562"/>
      <c r="I3" s="563"/>
    </row>
    <row r="4" spans="1:9">
      <c r="A4" s="551" t="s">
        <v>3</v>
      </c>
      <c r="B4" s="552"/>
      <c r="C4" s="552"/>
      <c r="D4" s="552"/>
      <c r="E4" s="552"/>
      <c r="F4" s="552"/>
      <c r="G4" s="552"/>
      <c r="H4" s="552"/>
      <c r="I4" s="553"/>
    </row>
    <row r="5" spans="1:9">
      <c r="A5" s="554"/>
      <c r="B5" s="555"/>
      <c r="C5" s="555"/>
      <c r="D5" s="555"/>
      <c r="E5" s="555"/>
      <c r="F5" s="555"/>
      <c r="G5" s="555"/>
      <c r="H5" s="555"/>
      <c r="I5" s="556"/>
    </row>
    <row r="6" spans="1:9" ht="25.5" customHeight="1">
      <c r="A6" s="566" t="s">
        <v>4</v>
      </c>
      <c r="B6" s="567"/>
      <c r="C6" s="567"/>
      <c r="D6" s="567"/>
      <c r="E6" s="567"/>
      <c r="F6" s="567"/>
      <c r="G6" s="567"/>
      <c r="H6" s="567"/>
      <c r="I6" s="568"/>
    </row>
    <row r="7" spans="1:9">
      <c r="A7" s="16" t="s">
        <v>306</v>
      </c>
      <c r="B7" s="17" t="s">
        <v>7</v>
      </c>
      <c r="C7" s="587" t="s">
        <v>8</v>
      </c>
      <c r="D7" s="587"/>
      <c r="E7" s="164" t="s">
        <v>708</v>
      </c>
      <c r="F7" s="18" t="s">
        <v>7</v>
      </c>
      <c r="G7" s="588" t="s">
        <v>9</v>
      </c>
      <c r="H7" s="589"/>
      <c r="I7" s="164" t="s">
        <v>708</v>
      </c>
    </row>
    <row r="8" spans="1:9" ht="26">
      <c r="A8" s="572" t="s">
        <v>600</v>
      </c>
      <c r="B8" s="424" t="s">
        <v>11</v>
      </c>
      <c r="C8" s="141" t="s">
        <v>15</v>
      </c>
      <c r="D8" s="142" t="s">
        <v>601</v>
      </c>
      <c r="E8" s="133"/>
      <c r="F8" s="424" t="s">
        <v>11</v>
      </c>
      <c r="G8" s="141" t="s">
        <v>15</v>
      </c>
      <c r="H8" s="142" t="s">
        <v>602</v>
      </c>
      <c r="I8" s="36"/>
    </row>
    <row r="9" spans="1:9">
      <c r="A9" s="573"/>
      <c r="B9" s="425"/>
      <c r="C9" s="414" t="s">
        <v>19</v>
      </c>
      <c r="D9" s="590" t="s">
        <v>603</v>
      </c>
      <c r="E9" s="583"/>
      <c r="F9" s="425"/>
      <c r="G9" s="61" t="s">
        <v>19</v>
      </c>
      <c r="H9" s="102" t="s">
        <v>56</v>
      </c>
      <c r="I9" s="35"/>
    </row>
    <row r="10" spans="1:9">
      <c r="A10" s="573"/>
      <c r="B10" s="425"/>
      <c r="C10" s="415"/>
      <c r="D10" s="591"/>
      <c r="E10" s="583"/>
      <c r="F10" s="425"/>
      <c r="G10" s="61" t="s">
        <v>24</v>
      </c>
      <c r="H10" s="102" t="s">
        <v>604</v>
      </c>
      <c r="I10" s="35"/>
    </row>
    <row r="11" spans="1:9">
      <c r="A11" s="573"/>
      <c r="B11" s="425"/>
      <c r="C11" s="414" t="s">
        <v>24</v>
      </c>
      <c r="D11" s="590" t="s">
        <v>605</v>
      </c>
      <c r="E11" s="584"/>
      <c r="F11" s="425"/>
      <c r="G11" s="61" t="s">
        <v>36</v>
      </c>
      <c r="H11" s="102" t="s">
        <v>479</v>
      </c>
      <c r="I11" s="35"/>
    </row>
    <row r="12" spans="1:9">
      <c r="A12" s="573"/>
      <c r="B12" s="426"/>
      <c r="C12" s="415"/>
      <c r="D12" s="591"/>
      <c r="E12" s="585"/>
      <c r="F12" s="426"/>
      <c r="G12" s="61" t="s">
        <v>61</v>
      </c>
      <c r="H12" s="102" t="s">
        <v>571</v>
      </c>
      <c r="I12" s="35"/>
    </row>
    <row r="13" spans="1:9" ht="26">
      <c r="A13" s="573"/>
      <c r="B13" s="586" t="s">
        <v>14</v>
      </c>
      <c r="C13" s="61" t="s">
        <v>15</v>
      </c>
      <c r="D13" s="284" t="s">
        <v>606</v>
      </c>
      <c r="E13" s="126"/>
      <c r="F13" s="586" t="s">
        <v>14</v>
      </c>
      <c r="G13" s="61" t="s">
        <v>15</v>
      </c>
      <c r="H13" s="102" t="s">
        <v>602</v>
      </c>
      <c r="I13" s="575"/>
    </row>
    <row r="14" spans="1:9">
      <c r="A14" s="573"/>
      <c r="B14" s="586"/>
      <c r="C14" s="61" t="s">
        <v>19</v>
      </c>
      <c r="D14" s="284" t="s">
        <v>607</v>
      </c>
      <c r="E14" s="126"/>
      <c r="F14" s="586"/>
      <c r="G14" s="61" t="s">
        <v>19</v>
      </c>
      <c r="H14" s="102" t="s">
        <v>311</v>
      </c>
      <c r="I14" s="576"/>
    </row>
    <row r="15" spans="1:9">
      <c r="A15" s="573"/>
      <c r="B15" s="586"/>
      <c r="C15" s="61" t="s">
        <v>24</v>
      </c>
      <c r="D15" s="284" t="s">
        <v>605</v>
      </c>
      <c r="E15" s="102"/>
      <c r="F15" s="586"/>
      <c r="G15" s="61" t="s">
        <v>24</v>
      </c>
      <c r="H15" s="102" t="s">
        <v>316</v>
      </c>
      <c r="I15" s="577"/>
    </row>
    <row r="16" spans="1:9" ht="26">
      <c r="A16" s="573"/>
      <c r="B16" s="430" t="s">
        <v>17</v>
      </c>
      <c r="C16" s="61" t="s">
        <v>15</v>
      </c>
      <c r="D16" s="284" t="s">
        <v>608</v>
      </c>
      <c r="E16" s="102"/>
      <c r="F16" s="430" t="s">
        <v>17</v>
      </c>
      <c r="G16" s="61" t="s">
        <v>15</v>
      </c>
      <c r="H16" s="102" t="s">
        <v>609</v>
      </c>
      <c r="I16" s="575"/>
    </row>
    <row r="17" spans="1:9" ht="30" customHeight="1">
      <c r="A17" s="573"/>
      <c r="B17" s="431"/>
      <c r="C17" s="414" t="s">
        <v>19</v>
      </c>
      <c r="D17" s="590" t="s">
        <v>610</v>
      </c>
      <c r="E17" s="520"/>
      <c r="F17" s="431"/>
      <c r="G17" s="61" t="s">
        <v>19</v>
      </c>
      <c r="H17" s="102" t="s">
        <v>611</v>
      </c>
      <c r="I17" s="576"/>
    </row>
    <row r="18" spans="1:9">
      <c r="A18" s="573"/>
      <c r="B18" s="431"/>
      <c r="C18" s="415"/>
      <c r="D18" s="591"/>
      <c r="E18" s="522"/>
      <c r="F18" s="431"/>
      <c r="G18" s="61" t="s">
        <v>24</v>
      </c>
      <c r="H18" s="102" t="s">
        <v>612</v>
      </c>
      <c r="I18" s="577"/>
    </row>
    <row r="19" spans="1:9">
      <c r="A19" s="573"/>
      <c r="B19" s="432"/>
      <c r="C19" s="61" t="s">
        <v>24</v>
      </c>
      <c r="D19" s="284" t="s">
        <v>613</v>
      </c>
      <c r="E19" s="102"/>
      <c r="F19" s="432"/>
      <c r="G19" s="62" t="s">
        <v>36</v>
      </c>
      <c r="H19" s="27" t="s">
        <v>614</v>
      </c>
      <c r="I19" s="145"/>
    </row>
    <row r="20" spans="1:9" ht="26">
      <c r="A20" s="573"/>
      <c r="B20" s="579" t="s">
        <v>22</v>
      </c>
      <c r="C20" s="61" t="s">
        <v>15</v>
      </c>
      <c r="D20" s="284" t="s">
        <v>615</v>
      </c>
      <c r="E20" s="102"/>
      <c r="F20" s="579" t="s">
        <v>22</v>
      </c>
      <c r="G20" s="464" t="s">
        <v>358</v>
      </c>
      <c r="H20" s="514" t="s">
        <v>326</v>
      </c>
      <c r="I20" s="575"/>
    </row>
    <row r="21" spans="1:9" ht="26">
      <c r="A21" s="573"/>
      <c r="B21" s="579"/>
      <c r="C21" s="61" t="s">
        <v>19</v>
      </c>
      <c r="D21" s="284" t="s">
        <v>616</v>
      </c>
      <c r="E21" s="102"/>
      <c r="F21" s="579"/>
      <c r="G21" s="462"/>
      <c r="H21" s="514"/>
      <c r="I21" s="576"/>
    </row>
    <row r="22" spans="1:9">
      <c r="A22" s="573"/>
      <c r="B22" s="579"/>
      <c r="C22" s="61" t="s">
        <v>24</v>
      </c>
      <c r="D22" s="284" t="s">
        <v>617</v>
      </c>
      <c r="E22" s="102"/>
      <c r="F22" s="579"/>
      <c r="G22" s="463"/>
      <c r="H22" s="514"/>
      <c r="I22" s="577"/>
    </row>
    <row r="23" spans="1:9" ht="26">
      <c r="A23" s="573"/>
      <c r="B23" s="580" t="s">
        <v>26</v>
      </c>
      <c r="C23" s="61" t="s">
        <v>15</v>
      </c>
      <c r="D23" s="284" t="s">
        <v>618</v>
      </c>
      <c r="E23" s="102"/>
      <c r="F23" s="580" t="s">
        <v>26</v>
      </c>
      <c r="G23" s="61" t="s">
        <v>15</v>
      </c>
      <c r="H23" s="137" t="s">
        <v>619</v>
      </c>
      <c r="I23" s="146"/>
    </row>
    <row r="24" spans="1:9" ht="26">
      <c r="A24" s="573"/>
      <c r="B24" s="580"/>
      <c r="C24" s="61" t="s">
        <v>19</v>
      </c>
      <c r="D24" s="284" t="s">
        <v>620</v>
      </c>
      <c r="E24" s="102"/>
      <c r="F24" s="580"/>
      <c r="G24" s="414" t="s">
        <v>19</v>
      </c>
      <c r="H24" s="518" t="s">
        <v>621</v>
      </c>
      <c r="I24" s="575"/>
    </row>
    <row r="25" spans="1:9">
      <c r="A25" s="574"/>
      <c r="B25" s="581"/>
      <c r="C25" s="143" t="s">
        <v>24</v>
      </c>
      <c r="D25" s="285" t="s">
        <v>622</v>
      </c>
      <c r="E25" s="144"/>
      <c r="F25" s="581"/>
      <c r="G25" s="423"/>
      <c r="H25" s="582"/>
      <c r="I25" s="578"/>
    </row>
    <row r="26" spans="1:9" ht="15" customHeight="1">
      <c r="A26" s="551" t="s">
        <v>3</v>
      </c>
      <c r="B26" s="552"/>
      <c r="C26" s="552"/>
      <c r="D26" s="552"/>
      <c r="E26" s="552"/>
      <c r="F26" s="552"/>
      <c r="G26" s="552"/>
      <c r="H26" s="552"/>
      <c r="I26" s="553"/>
    </row>
    <row r="27" spans="1:9" ht="38.25" customHeight="1">
      <c r="A27" s="554"/>
      <c r="B27" s="555"/>
      <c r="C27" s="555"/>
      <c r="D27" s="555"/>
      <c r="E27" s="555"/>
      <c r="F27" s="555"/>
      <c r="G27" s="555"/>
      <c r="H27" s="555"/>
      <c r="I27" s="556"/>
    </row>
  </sheetData>
  <mergeCells count="35">
    <mergeCell ref="A1:I1"/>
    <mergeCell ref="A6:I6"/>
    <mergeCell ref="C7:D7"/>
    <mergeCell ref="G7:H7"/>
    <mergeCell ref="A8:A25"/>
    <mergeCell ref="B8:B12"/>
    <mergeCell ref="B13:B15"/>
    <mergeCell ref="B16:B19"/>
    <mergeCell ref="B20:B22"/>
    <mergeCell ref="B23:B25"/>
    <mergeCell ref="C9:C10"/>
    <mergeCell ref="C11:C12"/>
    <mergeCell ref="C17:C18"/>
    <mergeCell ref="D9:D10"/>
    <mergeCell ref="D11:D12"/>
    <mergeCell ref="D17:D18"/>
    <mergeCell ref="A2:I3"/>
    <mergeCell ref="A4:I5"/>
    <mergeCell ref="F20:F22"/>
    <mergeCell ref="F23:F25"/>
    <mergeCell ref="G20:G22"/>
    <mergeCell ref="G24:G25"/>
    <mergeCell ref="H20:H22"/>
    <mergeCell ref="H24:H25"/>
    <mergeCell ref="E9:E10"/>
    <mergeCell ref="E11:E12"/>
    <mergeCell ref="E17:E18"/>
    <mergeCell ref="F8:F12"/>
    <mergeCell ref="F13:F15"/>
    <mergeCell ref="F16:F19"/>
    <mergeCell ref="A26:I27"/>
    <mergeCell ref="I13:I15"/>
    <mergeCell ref="I16:I18"/>
    <mergeCell ref="I20:I22"/>
    <mergeCell ref="I24:I25"/>
  </mergeCells>
  <pageMargins left="0.7" right="0.7" top="0.75" bottom="0.75" header="0.3" footer="0.3"/>
  <pageSetup paperSize="9" scale="26" fitToHeight="0" orientation="portrait" r:id="rId1"/>
  <customProperties>
    <customPr name="EpmWorksheetKeyString_GUID" r:id="rId2"/>
  </customProperties>
  <drawing r:id="rId3"/>
  <legacyDrawing r:id="rId4"/>
  <controls>
    <mc:AlternateContent xmlns:mc="http://schemas.openxmlformats.org/markup-compatibility/2006">
      <mc:Choice Requires="x14">
        <control shapeId="26625" r:id="rId5" name="OptionButton1">
          <controlPr defaultSize="0" altText="" r:id="rId6">
            <anchor moveWithCells="1">
              <from>
                <xdr:col>1</xdr:col>
                <xdr:colOff>889000</xdr:colOff>
                <xdr:row>7</xdr:row>
                <xdr:rowOff>279400</xdr:rowOff>
              </from>
              <to>
                <xdr:col>1</xdr:col>
                <xdr:colOff>1054100</xdr:colOff>
                <xdr:row>8</xdr:row>
                <xdr:rowOff>133350</xdr:rowOff>
              </to>
            </anchor>
          </controlPr>
        </control>
      </mc:Choice>
      <mc:Fallback>
        <control shapeId="26625" r:id="rId5" name="OptionButton1"/>
      </mc:Fallback>
    </mc:AlternateContent>
    <mc:AlternateContent xmlns:mc="http://schemas.openxmlformats.org/markup-compatibility/2006">
      <mc:Choice Requires="x14">
        <control shapeId="26626" r:id="rId7" name="OptionButton2">
          <controlPr defaultSize="0" altText="" r:id="rId6">
            <anchor moveWithCells="1">
              <from>
                <xdr:col>1</xdr:col>
                <xdr:colOff>831850</xdr:colOff>
                <xdr:row>12</xdr:row>
                <xdr:rowOff>209550</xdr:rowOff>
              </from>
              <to>
                <xdr:col>1</xdr:col>
                <xdr:colOff>996950</xdr:colOff>
                <xdr:row>13</xdr:row>
                <xdr:rowOff>63500</xdr:rowOff>
              </to>
            </anchor>
          </controlPr>
        </control>
      </mc:Choice>
      <mc:Fallback>
        <control shapeId="26626" r:id="rId7" name="OptionButton2"/>
      </mc:Fallback>
    </mc:AlternateContent>
    <mc:AlternateContent xmlns:mc="http://schemas.openxmlformats.org/markup-compatibility/2006">
      <mc:Choice Requires="x14">
        <control shapeId="26627" r:id="rId8" name="OptionButton3">
          <controlPr defaultSize="0" altText="" r:id="rId9">
            <anchor moveWithCells="1">
              <from>
                <xdr:col>1</xdr:col>
                <xdr:colOff>819150</xdr:colOff>
                <xdr:row>15</xdr:row>
                <xdr:rowOff>298450</xdr:rowOff>
              </from>
              <to>
                <xdr:col>1</xdr:col>
                <xdr:colOff>977900</xdr:colOff>
                <xdr:row>16</xdr:row>
                <xdr:rowOff>152400</xdr:rowOff>
              </to>
            </anchor>
          </controlPr>
        </control>
      </mc:Choice>
      <mc:Fallback>
        <control shapeId="26627" r:id="rId8" name="OptionButton3"/>
      </mc:Fallback>
    </mc:AlternateContent>
    <mc:AlternateContent xmlns:mc="http://schemas.openxmlformats.org/markup-compatibility/2006">
      <mc:Choice Requires="x14">
        <control shapeId="26628" r:id="rId10" name="OptionButton4">
          <controlPr defaultSize="0" altText="" r:id="rId6">
            <anchor moveWithCells="1">
              <from>
                <xdr:col>1</xdr:col>
                <xdr:colOff>819150</xdr:colOff>
                <xdr:row>19</xdr:row>
                <xdr:rowOff>203200</xdr:rowOff>
              </from>
              <to>
                <xdr:col>1</xdr:col>
                <xdr:colOff>984250</xdr:colOff>
                <xdr:row>20</xdr:row>
                <xdr:rowOff>57150</xdr:rowOff>
              </to>
            </anchor>
          </controlPr>
        </control>
      </mc:Choice>
      <mc:Fallback>
        <control shapeId="26628" r:id="rId10" name="OptionButton4"/>
      </mc:Fallback>
    </mc:AlternateContent>
    <mc:AlternateContent xmlns:mc="http://schemas.openxmlformats.org/markup-compatibility/2006">
      <mc:Choice Requires="x14">
        <control shapeId="26629" r:id="rId11" name="OptionButton5">
          <controlPr defaultSize="0" altText="" r:id="rId6">
            <anchor moveWithCells="1">
              <from>
                <xdr:col>1</xdr:col>
                <xdr:colOff>831850</xdr:colOff>
                <xdr:row>22</xdr:row>
                <xdr:rowOff>209550</xdr:rowOff>
              </from>
              <to>
                <xdr:col>1</xdr:col>
                <xdr:colOff>996950</xdr:colOff>
                <xdr:row>23</xdr:row>
                <xdr:rowOff>63500</xdr:rowOff>
              </to>
            </anchor>
          </controlPr>
        </control>
      </mc:Choice>
      <mc:Fallback>
        <control shapeId="26629" r:id="rId11" name="OptionButton5"/>
      </mc:Fallback>
    </mc:AlternateContent>
    <mc:AlternateContent xmlns:mc="http://schemas.openxmlformats.org/markup-compatibility/2006">
      <mc:Choice Requires="x14">
        <control shapeId="26630" r:id="rId12" name="OptionButton6">
          <controlPr defaultSize="0" altText="" r:id="rId6">
            <anchor moveWithCells="1">
              <from>
                <xdr:col>5</xdr:col>
                <xdr:colOff>927100</xdr:colOff>
                <xdr:row>7</xdr:row>
                <xdr:rowOff>279400</xdr:rowOff>
              </from>
              <to>
                <xdr:col>5</xdr:col>
                <xdr:colOff>1092200</xdr:colOff>
                <xdr:row>8</xdr:row>
                <xdr:rowOff>133350</xdr:rowOff>
              </to>
            </anchor>
          </controlPr>
        </control>
      </mc:Choice>
      <mc:Fallback>
        <control shapeId="26630" r:id="rId12" name="OptionButton6"/>
      </mc:Fallback>
    </mc:AlternateContent>
    <mc:AlternateContent xmlns:mc="http://schemas.openxmlformats.org/markup-compatibility/2006">
      <mc:Choice Requires="x14">
        <control shapeId="26631" r:id="rId13" name="OptionButton7">
          <controlPr defaultSize="0" altText="" r:id="rId6">
            <anchor moveWithCells="1">
              <from>
                <xdr:col>5</xdr:col>
                <xdr:colOff>933450</xdr:colOff>
                <xdr:row>12</xdr:row>
                <xdr:rowOff>203200</xdr:rowOff>
              </from>
              <to>
                <xdr:col>5</xdr:col>
                <xdr:colOff>1098550</xdr:colOff>
                <xdr:row>13</xdr:row>
                <xdr:rowOff>57150</xdr:rowOff>
              </to>
            </anchor>
          </controlPr>
        </control>
      </mc:Choice>
      <mc:Fallback>
        <control shapeId="26631" r:id="rId13" name="OptionButton7"/>
      </mc:Fallback>
    </mc:AlternateContent>
    <mc:AlternateContent xmlns:mc="http://schemas.openxmlformats.org/markup-compatibility/2006">
      <mc:Choice Requires="x14">
        <control shapeId="26632" r:id="rId14" name="OptionButton8">
          <controlPr defaultSize="0" altText="" r:id="rId9">
            <anchor moveWithCells="1">
              <from>
                <xdr:col>5</xdr:col>
                <xdr:colOff>927100</xdr:colOff>
                <xdr:row>15</xdr:row>
                <xdr:rowOff>279400</xdr:rowOff>
              </from>
              <to>
                <xdr:col>5</xdr:col>
                <xdr:colOff>1085850</xdr:colOff>
                <xdr:row>16</xdr:row>
                <xdr:rowOff>133350</xdr:rowOff>
              </to>
            </anchor>
          </controlPr>
        </control>
      </mc:Choice>
      <mc:Fallback>
        <control shapeId="26632" r:id="rId14" name="OptionButton8"/>
      </mc:Fallback>
    </mc:AlternateContent>
    <mc:AlternateContent xmlns:mc="http://schemas.openxmlformats.org/markup-compatibility/2006">
      <mc:Choice Requires="x14">
        <control shapeId="26633" r:id="rId15" name="OptionButton9">
          <controlPr defaultSize="0" altText="" r:id="rId16">
            <anchor moveWithCells="1">
              <from>
                <xdr:col>5</xdr:col>
                <xdr:colOff>933450</xdr:colOff>
                <xdr:row>19</xdr:row>
                <xdr:rowOff>222250</xdr:rowOff>
              </from>
              <to>
                <xdr:col>5</xdr:col>
                <xdr:colOff>1092200</xdr:colOff>
                <xdr:row>20</xdr:row>
                <xdr:rowOff>76200</xdr:rowOff>
              </to>
            </anchor>
          </controlPr>
        </control>
      </mc:Choice>
      <mc:Fallback>
        <control shapeId="26633" r:id="rId15" name="OptionButton9"/>
      </mc:Fallback>
    </mc:AlternateContent>
    <mc:AlternateContent xmlns:mc="http://schemas.openxmlformats.org/markup-compatibility/2006">
      <mc:Choice Requires="x14">
        <control shapeId="26634" r:id="rId17" name="OptionButton10">
          <controlPr defaultSize="0" altText="" r:id="rId6">
            <anchor moveWithCells="1">
              <from>
                <xdr:col>5</xdr:col>
                <xdr:colOff>933450</xdr:colOff>
                <xdr:row>22</xdr:row>
                <xdr:rowOff>222250</xdr:rowOff>
              </from>
              <to>
                <xdr:col>5</xdr:col>
                <xdr:colOff>1098550</xdr:colOff>
                <xdr:row>23</xdr:row>
                <xdr:rowOff>76200</xdr:rowOff>
              </to>
            </anchor>
          </controlPr>
        </control>
      </mc:Choice>
      <mc:Fallback>
        <control shapeId="26634" r:id="rId17" name="OptionButton10"/>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J52"/>
  <sheetViews>
    <sheetView view="pageBreakPreview" zoomScale="55" zoomScaleNormal="100" workbookViewId="0">
      <selection activeCell="I15" sqref="I15"/>
    </sheetView>
  </sheetViews>
  <sheetFormatPr defaultColWidth="9.1796875" defaultRowHeight="14.5"/>
  <cols>
    <col min="1" max="1" width="9.1796875" style="40"/>
    <col min="2" max="2" width="19.81640625" style="40" customWidth="1"/>
    <col min="3" max="3" width="17" style="118" customWidth="1"/>
    <col min="4" max="4" width="2.453125" style="119" customWidth="1"/>
    <col min="5" max="5" width="51.54296875" style="40" customWidth="1"/>
    <col min="6" max="6" width="12.453125" style="40" customWidth="1"/>
    <col min="7" max="7" width="18.1796875" style="120" customWidth="1"/>
    <col min="8" max="8" width="2.453125" style="39" customWidth="1"/>
    <col min="9" max="9" width="54.54296875" style="40" customWidth="1"/>
    <col min="10" max="10" width="18" style="40" customWidth="1"/>
    <col min="11" max="16384" width="9.1796875" style="40"/>
  </cols>
  <sheetData>
    <row r="1" spans="1:10" ht="34.5" customHeight="1">
      <c r="A1" s="627" t="s">
        <v>877</v>
      </c>
      <c r="B1" s="369"/>
      <c r="C1" s="369"/>
      <c r="D1" s="369"/>
      <c r="E1" s="369"/>
      <c r="F1" s="369"/>
      <c r="G1" s="369"/>
      <c r="H1" s="369"/>
      <c r="I1" s="369"/>
      <c r="J1" s="370"/>
    </row>
    <row r="2" spans="1:10" ht="15" customHeight="1">
      <c r="A2" s="299" t="s">
        <v>2</v>
      </c>
      <c r="B2" s="300"/>
      <c r="C2" s="300"/>
      <c r="D2" s="300"/>
      <c r="E2" s="300"/>
      <c r="F2" s="300"/>
      <c r="G2" s="300"/>
      <c r="H2" s="300"/>
      <c r="I2" s="300"/>
      <c r="J2" s="301"/>
    </row>
    <row r="3" spans="1:10">
      <c r="A3" s="302"/>
      <c r="B3" s="303"/>
      <c r="C3" s="303"/>
      <c r="D3" s="303"/>
      <c r="E3" s="303"/>
      <c r="F3" s="303"/>
      <c r="G3" s="303"/>
      <c r="H3" s="303"/>
      <c r="I3" s="303"/>
      <c r="J3" s="304"/>
    </row>
    <row r="4" spans="1:10" ht="15" customHeight="1">
      <c r="A4" s="293" t="s">
        <v>3</v>
      </c>
      <c r="B4" s="294"/>
      <c r="C4" s="294"/>
      <c r="D4" s="294"/>
      <c r="E4" s="294"/>
      <c r="F4" s="294"/>
      <c r="G4" s="294"/>
      <c r="H4" s="294"/>
      <c r="I4" s="294"/>
      <c r="J4" s="295"/>
    </row>
    <row r="5" spans="1:10">
      <c r="A5" s="296"/>
      <c r="B5" s="297"/>
      <c r="C5" s="297"/>
      <c r="D5" s="297"/>
      <c r="E5" s="297"/>
      <c r="F5" s="297"/>
      <c r="G5" s="297"/>
      <c r="H5" s="297"/>
      <c r="I5" s="297"/>
      <c r="J5" s="298"/>
    </row>
    <row r="6" spans="1:10" ht="15.75" customHeight="1">
      <c r="A6" s="371" t="s">
        <v>4</v>
      </c>
      <c r="B6" s="372"/>
      <c r="C6" s="372"/>
      <c r="D6" s="372"/>
      <c r="E6" s="372"/>
      <c r="F6" s="372"/>
      <c r="G6" s="372"/>
      <c r="H6" s="372"/>
      <c r="I6" s="372"/>
      <c r="J6" s="373"/>
    </row>
    <row r="7" spans="1:10" ht="15.75" customHeight="1" thickBot="1">
      <c r="A7" s="374" t="s">
        <v>623</v>
      </c>
      <c r="B7" s="375"/>
      <c r="C7" s="375"/>
      <c r="D7" s="375"/>
      <c r="E7" s="375"/>
      <c r="F7" s="375"/>
      <c r="G7" s="375"/>
      <c r="H7" s="375"/>
      <c r="I7" s="375"/>
      <c r="J7" s="376"/>
    </row>
    <row r="8" spans="1:10" ht="39.5" thickBot="1">
      <c r="A8" s="616"/>
      <c r="B8" s="121" t="s">
        <v>6</v>
      </c>
      <c r="C8" s="122" t="s">
        <v>7</v>
      </c>
      <c r="D8" s="615" t="s">
        <v>8</v>
      </c>
      <c r="E8" s="615"/>
      <c r="F8" s="164" t="s">
        <v>708</v>
      </c>
      <c r="G8" s="122" t="s">
        <v>7</v>
      </c>
      <c r="H8" s="570" t="s">
        <v>9</v>
      </c>
      <c r="I8" s="571"/>
      <c r="J8" s="164" t="s">
        <v>708</v>
      </c>
    </row>
    <row r="9" spans="1:10" ht="38.25" customHeight="1">
      <c r="A9" s="617"/>
      <c r="B9" s="619" t="s">
        <v>624</v>
      </c>
      <c r="C9" s="424" t="s">
        <v>11</v>
      </c>
      <c r="D9" s="461" t="s">
        <v>358</v>
      </c>
      <c r="E9" s="459" t="s">
        <v>625</v>
      </c>
      <c r="F9" s="626"/>
      <c r="G9" s="424" t="s">
        <v>11</v>
      </c>
      <c r="H9" s="123" t="s">
        <v>15</v>
      </c>
      <c r="I9" s="133" t="s">
        <v>626</v>
      </c>
      <c r="J9" s="134"/>
    </row>
    <row r="10" spans="1:10" ht="39">
      <c r="A10" s="617"/>
      <c r="B10" s="620"/>
      <c r="C10" s="425"/>
      <c r="D10" s="462"/>
      <c r="E10" s="460"/>
      <c r="F10" s="521"/>
      <c r="G10" s="425"/>
      <c r="H10" s="124" t="s">
        <v>19</v>
      </c>
      <c r="I10" s="126" t="s">
        <v>627</v>
      </c>
      <c r="J10" s="135"/>
    </row>
    <row r="11" spans="1:10">
      <c r="A11" s="617"/>
      <c r="B11" s="620"/>
      <c r="C11" s="425"/>
      <c r="D11" s="462"/>
      <c r="E11" s="460"/>
      <c r="F11" s="521"/>
      <c r="G11" s="425"/>
      <c r="H11" s="124" t="s">
        <v>24</v>
      </c>
      <c r="I11" s="126" t="s">
        <v>628</v>
      </c>
      <c r="J11" s="601"/>
    </row>
    <row r="12" spans="1:10">
      <c r="A12" s="617"/>
      <c r="B12" s="620"/>
      <c r="C12" s="425"/>
      <c r="D12" s="462"/>
      <c r="E12" s="460"/>
      <c r="F12" s="521"/>
      <c r="G12" s="425"/>
      <c r="H12" s="124" t="s">
        <v>36</v>
      </c>
      <c r="I12" s="126" t="s">
        <v>629</v>
      </c>
      <c r="J12" s="603"/>
    </row>
    <row r="13" spans="1:10">
      <c r="A13" s="617"/>
      <c r="B13" s="620"/>
      <c r="C13" s="426"/>
      <c r="D13" s="463"/>
      <c r="E13" s="454"/>
      <c r="F13" s="522"/>
      <c r="G13" s="426"/>
      <c r="H13" s="124" t="s">
        <v>61</v>
      </c>
      <c r="I13" s="127" t="s">
        <v>571</v>
      </c>
      <c r="J13" s="135"/>
    </row>
    <row r="14" spans="1:10" ht="26">
      <c r="A14" s="617"/>
      <c r="B14" s="620"/>
      <c r="C14" s="427" t="s">
        <v>14</v>
      </c>
      <c r="D14" s="124" t="s">
        <v>15</v>
      </c>
      <c r="E14" s="126" t="s">
        <v>630</v>
      </c>
      <c r="F14" s="126"/>
      <c r="G14" s="427" t="s">
        <v>14</v>
      </c>
      <c r="H14" s="124" t="s">
        <v>15</v>
      </c>
      <c r="I14" s="126" t="s">
        <v>631</v>
      </c>
      <c r="J14" s="136"/>
    </row>
    <row r="15" spans="1:10" ht="39">
      <c r="A15" s="617"/>
      <c r="B15" s="620"/>
      <c r="C15" s="428"/>
      <c r="D15" s="628" t="s">
        <v>19</v>
      </c>
      <c r="E15" s="455" t="s">
        <v>632</v>
      </c>
      <c r="F15" s="608"/>
      <c r="G15" s="428"/>
      <c r="H15" s="124" t="s">
        <v>19</v>
      </c>
      <c r="I15" s="126" t="s">
        <v>627</v>
      </c>
      <c r="J15" s="136"/>
    </row>
    <row r="16" spans="1:10">
      <c r="A16" s="617"/>
      <c r="B16" s="620"/>
      <c r="C16" s="428"/>
      <c r="D16" s="629"/>
      <c r="E16" s="456"/>
      <c r="F16" s="609"/>
      <c r="G16" s="428"/>
      <c r="H16" s="124" t="s">
        <v>24</v>
      </c>
      <c r="I16" s="126" t="s">
        <v>628</v>
      </c>
      <c r="J16" s="136"/>
    </row>
    <row r="17" spans="1:10">
      <c r="A17" s="617"/>
      <c r="B17" s="620"/>
      <c r="C17" s="429"/>
      <c r="D17" s="124" t="s">
        <v>24</v>
      </c>
      <c r="E17" s="126" t="s">
        <v>633</v>
      </c>
      <c r="F17" s="126"/>
      <c r="G17" s="429"/>
      <c r="H17" s="124" t="s">
        <v>36</v>
      </c>
      <c r="I17" s="126" t="s">
        <v>634</v>
      </c>
      <c r="J17" s="136"/>
    </row>
    <row r="18" spans="1:10" ht="26">
      <c r="A18" s="617"/>
      <c r="B18" s="620"/>
      <c r="C18" s="430" t="s">
        <v>17</v>
      </c>
      <c r="D18" s="124" t="s">
        <v>15</v>
      </c>
      <c r="E18" s="126" t="s">
        <v>635</v>
      </c>
      <c r="F18" s="126"/>
      <c r="G18" s="430" t="s">
        <v>17</v>
      </c>
      <c r="H18" s="20" t="s">
        <v>15</v>
      </c>
      <c r="I18" s="102" t="s">
        <v>631</v>
      </c>
      <c r="J18" s="136"/>
    </row>
    <row r="19" spans="1:10" ht="30" customHeight="1">
      <c r="A19" s="617"/>
      <c r="B19" s="620"/>
      <c r="C19" s="431"/>
      <c r="D19" s="628" t="s">
        <v>19</v>
      </c>
      <c r="E19" s="455" t="s">
        <v>636</v>
      </c>
      <c r="F19" s="608"/>
      <c r="G19" s="431"/>
      <c r="H19" s="20" t="s">
        <v>19</v>
      </c>
      <c r="I19" s="137" t="s">
        <v>637</v>
      </c>
      <c r="J19" s="35"/>
    </row>
    <row r="20" spans="1:10" ht="26">
      <c r="A20" s="617"/>
      <c r="B20" s="620"/>
      <c r="C20" s="431"/>
      <c r="D20" s="630"/>
      <c r="E20" s="458"/>
      <c r="F20" s="610"/>
      <c r="G20" s="431"/>
      <c r="H20" s="20" t="s">
        <v>24</v>
      </c>
      <c r="I20" s="102" t="s">
        <v>638</v>
      </c>
      <c r="J20" s="136"/>
    </row>
    <row r="21" spans="1:10" ht="26">
      <c r="A21" s="617"/>
      <c r="B21" s="620"/>
      <c r="C21" s="431"/>
      <c r="D21" s="629"/>
      <c r="E21" s="456"/>
      <c r="F21" s="609"/>
      <c r="G21" s="431"/>
      <c r="H21" s="129" t="s">
        <v>36</v>
      </c>
      <c r="I21" s="95" t="s">
        <v>639</v>
      </c>
      <c r="J21" s="138"/>
    </row>
    <row r="22" spans="1:10" ht="26">
      <c r="A22" s="617"/>
      <c r="B22" s="620"/>
      <c r="C22" s="432"/>
      <c r="D22" s="124" t="s">
        <v>24</v>
      </c>
      <c r="E22" s="126" t="s">
        <v>640</v>
      </c>
      <c r="F22" s="126"/>
      <c r="G22" s="432"/>
      <c r="H22" s="129" t="s">
        <v>61</v>
      </c>
      <c r="I22" s="27" t="s">
        <v>641</v>
      </c>
      <c r="J22" s="138"/>
    </row>
    <row r="23" spans="1:10" ht="26">
      <c r="A23" s="617"/>
      <c r="B23" s="620"/>
      <c r="C23" s="433" t="s">
        <v>22</v>
      </c>
      <c r="D23" s="124" t="s">
        <v>15</v>
      </c>
      <c r="E23" s="126" t="s">
        <v>635</v>
      </c>
      <c r="F23" s="126"/>
      <c r="G23" s="433" t="s">
        <v>22</v>
      </c>
      <c r="H23" s="464" t="s">
        <v>358</v>
      </c>
      <c r="I23" s="453" t="s">
        <v>642</v>
      </c>
      <c r="J23" s="601"/>
    </row>
    <row r="24" spans="1:10" ht="39">
      <c r="A24" s="617"/>
      <c r="B24" s="620"/>
      <c r="C24" s="434"/>
      <c r="D24" s="124" t="s">
        <v>19</v>
      </c>
      <c r="E24" s="126" t="s">
        <v>643</v>
      </c>
      <c r="F24" s="126"/>
      <c r="G24" s="434"/>
      <c r="H24" s="462"/>
      <c r="I24" s="460"/>
      <c r="J24" s="602"/>
    </row>
    <row r="25" spans="1:10">
      <c r="A25" s="617"/>
      <c r="B25" s="620"/>
      <c r="C25" s="435"/>
      <c r="D25" s="124" t="s">
        <v>24</v>
      </c>
      <c r="E25" s="126" t="s">
        <v>640</v>
      </c>
      <c r="F25" s="126"/>
      <c r="G25" s="435"/>
      <c r="H25" s="463"/>
      <c r="I25" s="454"/>
      <c r="J25" s="603"/>
    </row>
    <row r="26" spans="1:10">
      <c r="A26" s="617"/>
      <c r="B26" s="620"/>
      <c r="C26" s="580" t="s">
        <v>26</v>
      </c>
      <c r="D26" s="124" t="s">
        <v>15</v>
      </c>
      <c r="E26" s="126" t="s">
        <v>644</v>
      </c>
      <c r="F26" s="126"/>
      <c r="G26" s="580" t="s">
        <v>26</v>
      </c>
      <c r="H26" s="464" t="s">
        <v>358</v>
      </c>
      <c r="I26" s="453" t="s">
        <v>645</v>
      </c>
      <c r="J26" s="601"/>
    </row>
    <row r="27" spans="1:10" ht="39">
      <c r="A27" s="617"/>
      <c r="B27" s="620"/>
      <c r="C27" s="580"/>
      <c r="D27" s="124" t="s">
        <v>19</v>
      </c>
      <c r="E27" s="126" t="s">
        <v>646</v>
      </c>
      <c r="F27" s="126"/>
      <c r="G27" s="580"/>
      <c r="H27" s="462"/>
      <c r="I27" s="606"/>
      <c r="J27" s="604"/>
    </row>
    <row r="28" spans="1:10">
      <c r="A28" s="617"/>
      <c r="B28" s="621"/>
      <c r="C28" s="581"/>
      <c r="D28" s="130" t="s">
        <v>24</v>
      </c>
      <c r="E28" s="131" t="s">
        <v>640</v>
      </c>
      <c r="F28" s="131"/>
      <c r="G28" s="581"/>
      <c r="H28" s="605"/>
      <c r="I28" s="607"/>
      <c r="J28" s="614"/>
    </row>
    <row r="29" spans="1:10" ht="15" customHeight="1">
      <c r="A29" s="617"/>
      <c r="B29" s="558" t="s">
        <v>3</v>
      </c>
      <c r="C29" s="559"/>
      <c r="D29" s="559"/>
      <c r="E29" s="559"/>
      <c r="F29" s="559"/>
      <c r="G29" s="559"/>
      <c r="H29" s="559"/>
      <c r="I29" s="559"/>
      <c r="J29" s="560"/>
    </row>
    <row r="30" spans="1:10">
      <c r="A30" s="618"/>
      <c r="B30" s="554"/>
      <c r="C30" s="555"/>
      <c r="D30" s="555"/>
      <c r="E30" s="555"/>
      <c r="F30" s="555"/>
      <c r="G30" s="555"/>
      <c r="H30" s="555"/>
      <c r="I30" s="555"/>
      <c r="J30" s="556"/>
    </row>
    <row r="31" spans="1:10" ht="15.75" customHeight="1">
      <c r="A31" s="631" t="s">
        <v>647</v>
      </c>
      <c r="B31" s="632" t="s">
        <v>648</v>
      </c>
      <c r="C31" s="632"/>
      <c r="D31" s="632"/>
      <c r="E31" s="632"/>
      <c r="F31" s="632"/>
      <c r="G31" s="632"/>
      <c r="H31" s="632"/>
      <c r="I31" s="632"/>
      <c r="J31" s="633"/>
    </row>
    <row r="32" spans="1:10" ht="39">
      <c r="A32" s="616"/>
      <c r="B32" s="121" t="s">
        <v>6</v>
      </c>
      <c r="C32" s="122" t="s">
        <v>7</v>
      </c>
      <c r="D32" s="615" t="s">
        <v>8</v>
      </c>
      <c r="E32" s="615"/>
      <c r="F32" s="122" t="s">
        <v>51</v>
      </c>
      <c r="G32" s="122" t="s">
        <v>7</v>
      </c>
      <c r="H32" s="570" t="s">
        <v>9</v>
      </c>
      <c r="I32" s="571"/>
      <c r="J32" s="132" t="s">
        <v>51</v>
      </c>
    </row>
    <row r="33" spans="1:10" ht="26">
      <c r="A33" s="617"/>
      <c r="B33" s="622" t="s">
        <v>649</v>
      </c>
      <c r="C33" s="424" t="s">
        <v>11</v>
      </c>
      <c r="D33" s="461" t="s">
        <v>358</v>
      </c>
      <c r="E33" s="459" t="s">
        <v>650</v>
      </c>
      <c r="F33" s="611"/>
      <c r="G33" s="424" t="s">
        <v>11</v>
      </c>
      <c r="H33" s="19" t="s">
        <v>15</v>
      </c>
      <c r="I33" s="133" t="s">
        <v>651</v>
      </c>
      <c r="J33" s="134"/>
    </row>
    <row r="34" spans="1:10" ht="36" customHeight="1">
      <c r="A34" s="617"/>
      <c r="B34" s="623"/>
      <c r="C34" s="425"/>
      <c r="D34" s="462"/>
      <c r="E34" s="606"/>
      <c r="F34" s="612"/>
      <c r="G34" s="425"/>
      <c r="H34" s="20" t="s">
        <v>19</v>
      </c>
      <c r="I34" s="126" t="s">
        <v>652</v>
      </c>
      <c r="J34" s="136"/>
    </row>
    <row r="35" spans="1:10">
      <c r="A35" s="617"/>
      <c r="B35" s="623"/>
      <c r="C35" s="425"/>
      <c r="D35" s="462"/>
      <c r="E35" s="606"/>
      <c r="F35" s="612"/>
      <c r="G35" s="425"/>
      <c r="H35" s="20" t="s">
        <v>24</v>
      </c>
      <c r="I35" s="102" t="s">
        <v>653</v>
      </c>
      <c r="J35" s="136"/>
    </row>
    <row r="36" spans="1:10">
      <c r="A36" s="617"/>
      <c r="B36" s="623"/>
      <c r="C36" s="425"/>
      <c r="D36" s="462"/>
      <c r="E36" s="606"/>
      <c r="F36" s="612"/>
      <c r="G36" s="425"/>
      <c r="H36" s="20" t="s">
        <v>36</v>
      </c>
      <c r="I36" s="102" t="s">
        <v>654</v>
      </c>
      <c r="J36" s="136"/>
    </row>
    <row r="37" spans="1:10">
      <c r="A37" s="617"/>
      <c r="B37" s="623"/>
      <c r="C37" s="426"/>
      <c r="D37" s="463"/>
      <c r="E37" s="625"/>
      <c r="F37" s="613"/>
      <c r="G37" s="426"/>
      <c r="H37" s="20" t="s">
        <v>61</v>
      </c>
      <c r="I37" s="102" t="s">
        <v>571</v>
      </c>
      <c r="J37" s="136"/>
    </row>
    <row r="38" spans="1:10" ht="26">
      <c r="A38" s="617"/>
      <c r="B38" s="623"/>
      <c r="C38" s="427" t="s">
        <v>14</v>
      </c>
      <c r="D38" s="592" t="s">
        <v>655</v>
      </c>
      <c r="E38" s="593"/>
      <c r="F38" s="594"/>
      <c r="G38" s="427" t="s">
        <v>14</v>
      </c>
      <c r="H38" s="20" t="s">
        <v>15</v>
      </c>
      <c r="I38" s="126" t="s">
        <v>656</v>
      </c>
      <c r="J38" s="601"/>
    </row>
    <row r="39" spans="1:10" ht="39">
      <c r="A39" s="617"/>
      <c r="B39" s="623"/>
      <c r="C39" s="428"/>
      <c r="D39" s="595"/>
      <c r="E39" s="596"/>
      <c r="F39" s="597"/>
      <c r="G39" s="428"/>
      <c r="H39" s="20" t="s">
        <v>19</v>
      </c>
      <c r="I39" s="126" t="s">
        <v>657</v>
      </c>
      <c r="J39" s="602"/>
    </row>
    <row r="40" spans="1:10">
      <c r="A40" s="617"/>
      <c r="B40" s="623"/>
      <c r="C40" s="428"/>
      <c r="D40" s="595"/>
      <c r="E40" s="596"/>
      <c r="F40" s="597"/>
      <c r="G40" s="428"/>
      <c r="H40" s="20" t="s">
        <v>24</v>
      </c>
      <c r="I40" s="102" t="s">
        <v>653</v>
      </c>
      <c r="J40" s="602"/>
    </row>
    <row r="41" spans="1:10">
      <c r="A41" s="617"/>
      <c r="B41" s="623"/>
      <c r="C41" s="429"/>
      <c r="D41" s="595"/>
      <c r="E41" s="596"/>
      <c r="F41" s="597"/>
      <c r="G41" s="429"/>
      <c r="H41" s="20" t="s">
        <v>36</v>
      </c>
      <c r="I41" s="126" t="s">
        <v>634</v>
      </c>
      <c r="J41" s="603"/>
    </row>
    <row r="42" spans="1:10" ht="26">
      <c r="A42" s="617"/>
      <c r="B42" s="623"/>
      <c r="C42" s="430" t="s">
        <v>17</v>
      </c>
      <c r="D42" s="595"/>
      <c r="E42" s="596"/>
      <c r="F42" s="597"/>
      <c r="G42" s="430" t="s">
        <v>17</v>
      </c>
      <c r="H42" s="20" t="s">
        <v>15</v>
      </c>
      <c r="I42" s="126" t="s">
        <v>658</v>
      </c>
      <c r="J42" s="601"/>
    </row>
    <row r="43" spans="1:10" ht="39">
      <c r="A43" s="617"/>
      <c r="B43" s="623"/>
      <c r="C43" s="431"/>
      <c r="D43" s="595"/>
      <c r="E43" s="596"/>
      <c r="F43" s="597"/>
      <c r="G43" s="431"/>
      <c r="H43" s="20" t="s">
        <v>19</v>
      </c>
      <c r="I43" s="27" t="s">
        <v>659</v>
      </c>
      <c r="J43" s="602"/>
    </row>
    <row r="44" spans="1:10" ht="26">
      <c r="A44" s="617"/>
      <c r="B44" s="623"/>
      <c r="C44" s="431"/>
      <c r="D44" s="595"/>
      <c r="E44" s="596"/>
      <c r="F44" s="597"/>
      <c r="G44" s="431"/>
      <c r="H44" s="20" t="s">
        <v>24</v>
      </c>
      <c r="I44" s="102" t="s">
        <v>611</v>
      </c>
      <c r="J44" s="602"/>
    </row>
    <row r="45" spans="1:10" ht="26">
      <c r="A45" s="617"/>
      <c r="B45" s="623"/>
      <c r="C45" s="431"/>
      <c r="D45" s="595"/>
      <c r="E45" s="596"/>
      <c r="F45" s="597"/>
      <c r="G45" s="431"/>
      <c r="H45" s="20" t="s">
        <v>36</v>
      </c>
      <c r="I45" s="102" t="s">
        <v>612</v>
      </c>
      <c r="J45" s="603"/>
    </row>
    <row r="46" spans="1:10" ht="26">
      <c r="A46" s="617"/>
      <c r="B46" s="623"/>
      <c r="C46" s="432"/>
      <c r="D46" s="598"/>
      <c r="E46" s="599"/>
      <c r="F46" s="600"/>
      <c r="G46" s="432"/>
      <c r="H46" s="20" t="s">
        <v>61</v>
      </c>
      <c r="I46" s="27" t="s">
        <v>641</v>
      </c>
      <c r="J46" s="139"/>
    </row>
    <row r="47" spans="1:10" ht="26">
      <c r="A47" s="617"/>
      <c r="B47" s="623"/>
      <c r="C47" s="579" t="s">
        <v>22</v>
      </c>
      <c r="D47" s="61" t="s">
        <v>15</v>
      </c>
      <c r="E47" s="102" t="s">
        <v>660</v>
      </c>
      <c r="F47" s="126"/>
      <c r="G47" s="579" t="s">
        <v>22</v>
      </c>
      <c r="H47" s="20" t="s">
        <v>15</v>
      </c>
      <c r="I47" s="102" t="s">
        <v>661</v>
      </c>
      <c r="J47" s="601"/>
    </row>
    <row r="48" spans="1:10" ht="26">
      <c r="A48" s="617"/>
      <c r="B48" s="623"/>
      <c r="C48" s="579"/>
      <c r="D48" s="129" t="s">
        <v>19</v>
      </c>
      <c r="E48" s="95" t="s">
        <v>662</v>
      </c>
      <c r="F48" s="128"/>
      <c r="G48" s="579"/>
      <c r="H48" s="20" t="s">
        <v>19</v>
      </c>
      <c r="I48" s="102" t="s">
        <v>642</v>
      </c>
      <c r="J48" s="603"/>
    </row>
    <row r="49" spans="1:10" ht="30" customHeight="1">
      <c r="A49" s="617"/>
      <c r="B49" s="623"/>
      <c r="C49" s="580" t="s">
        <v>26</v>
      </c>
      <c r="D49" s="129" t="s">
        <v>15</v>
      </c>
      <c r="E49" s="95" t="s">
        <v>660</v>
      </c>
      <c r="F49" s="128"/>
      <c r="G49" s="580" t="s">
        <v>26</v>
      </c>
      <c r="H49" s="129" t="s">
        <v>15</v>
      </c>
      <c r="I49" s="102" t="s">
        <v>663</v>
      </c>
      <c r="J49" s="601"/>
    </row>
    <row r="50" spans="1:10" ht="34.5" customHeight="1">
      <c r="A50" s="617"/>
      <c r="B50" s="624"/>
      <c r="C50" s="436"/>
      <c r="D50" s="129" t="s">
        <v>19</v>
      </c>
      <c r="E50" s="95" t="s">
        <v>664</v>
      </c>
      <c r="F50" s="128"/>
      <c r="G50" s="436"/>
      <c r="H50" s="129" t="s">
        <v>19</v>
      </c>
      <c r="I50" s="140" t="s">
        <v>619</v>
      </c>
      <c r="J50" s="604"/>
    </row>
    <row r="51" spans="1:10" ht="15" customHeight="1">
      <c r="A51" s="617"/>
      <c r="B51" s="558" t="s">
        <v>3</v>
      </c>
      <c r="C51" s="559"/>
      <c r="D51" s="559"/>
      <c r="E51" s="559"/>
      <c r="F51" s="559"/>
      <c r="G51" s="559"/>
      <c r="H51" s="559"/>
      <c r="I51" s="559"/>
      <c r="J51" s="560"/>
    </row>
    <row r="52" spans="1:10">
      <c r="A52" s="618"/>
      <c r="B52" s="554"/>
      <c r="C52" s="555"/>
      <c r="D52" s="555"/>
      <c r="E52" s="555"/>
      <c r="F52" s="555"/>
      <c r="G52" s="555"/>
      <c r="H52" s="555"/>
      <c r="I52" s="555"/>
      <c r="J52" s="556"/>
    </row>
  </sheetData>
  <mergeCells count="60">
    <mergeCell ref="C33:C37"/>
    <mergeCell ref="C38:C41"/>
    <mergeCell ref="C42:C46"/>
    <mergeCell ref="C47:C48"/>
    <mergeCell ref="A1:J1"/>
    <mergeCell ref="A6:J6"/>
    <mergeCell ref="A7:J7"/>
    <mergeCell ref="D8:E8"/>
    <mergeCell ref="H8:I8"/>
    <mergeCell ref="A2:J3"/>
    <mergeCell ref="A4:J5"/>
    <mergeCell ref="D9:D13"/>
    <mergeCell ref="D15:D16"/>
    <mergeCell ref="D19:D21"/>
    <mergeCell ref="D33:D37"/>
    <mergeCell ref="A31:J31"/>
    <mergeCell ref="D32:E32"/>
    <mergeCell ref="H32:I32"/>
    <mergeCell ref="A8:A30"/>
    <mergeCell ref="A32:A52"/>
    <mergeCell ref="B9:B28"/>
    <mergeCell ref="B33:B50"/>
    <mergeCell ref="C9:C13"/>
    <mergeCell ref="C14:C17"/>
    <mergeCell ref="C18:C22"/>
    <mergeCell ref="C23:C25"/>
    <mergeCell ref="C26:C28"/>
    <mergeCell ref="E9:E13"/>
    <mergeCell ref="E15:E16"/>
    <mergeCell ref="E19:E21"/>
    <mergeCell ref="E33:E37"/>
    <mergeCell ref="F9:F13"/>
    <mergeCell ref="F15:F16"/>
    <mergeCell ref="F19:F21"/>
    <mergeCell ref="F33:F37"/>
    <mergeCell ref="J11:J12"/>
    <mergeCell ref="J23:J25"/>
    <mergeCell ref="J26:J28"/>
    <mergeCell ref="G33:G37"/>
    <mergeCell ref="B29:J30"/>
    <mergeCell ref="H23:H25"/>
    <mergeCell ref="H26:H28"/>
    <mergeCell ref="I23:I25"/>
    <mergeCell ref="I26:I28"/>
    <mergeCell ref="G9:G13"/>
    <mergeCell ref="G14:G17"/>
    <mergeCell ref="G18:G22"/>
    <mergeCell ref="G23:G25"/>
    <mergeCell ref="G26:G28"/>
    <mergeCell ref="B51:J52"/>
    <mergeCell ref="D38:F46"/>
    <mergeCell ref="J38:J41"/>
    <mergeCell ref="J42:J45"/>
    <mergeCell ref="J47:J48"/>
    <mergeCell ref="J49:J50"/>
    <mergeCell ref="G42:G46"/>
    <mergeCell ref="G47:G48"/>
    <mergeCell ref="G49:G50"/>
    <mergeCell ref="C49:C50"/>
    <mergeCell ref="G38:G41"/>
  </mergeCells>
  <pageMargins left="0.7" right="0.7" top="0.75" bottom="0.75" header="0.3" footer="0.3"/>
  <pageSetup paperSize="9" scale="42" fitToHeight="0" orientation="portrait" r:id="rId1"/>
  <customProperties>
    <customPr name="EpmWorksheetKeyString_GUID" r:id="rId2"/>
  </customProperties>
  <drawing r:id="rId3"/>
  <legacyDrawing r:id="rId4"/>
  <controls>
    <mc:AlternateContent xmlns:mc="http://schemas.openxmlformats.org/markup-compatibility/2006">
      <mc:Choice Requires="x14">
        <control shapeId="32769" r:id="rId5" name="OptionButton1">
          <controlPr defaultSize="0" altText="" r:id="rId6">
            <anchor moveWithCells="1">
              <from>
                <xdr:col>2</xdr:col>
                <xdr:colOff>488950</xdr:colOff>
                <xdr:row>9</xdr:row>
                <xdr:rowOff>323850</xdr:rowOff>
              </from>
              <to>
                <xdr:col>2</xdr:col>
                <xdr:colOff>654050</xdr:colOff>
                <xdr:row>10</xdr:row>
                <xdr:rowOff>12700</xdr:rowOff>
              </to>
            </anchor>
          </controlPr>
        </control>
      </mc:Choice>
      <mc:Fallback>
        <control shapeId="32769" r:id="rId5" name="OptionButton1"/>
      </mc:Fallback>
    </mc:AlternateContent>
    <mc:AlternateContent xmlns:mc="http://schemas.openxmlformats.org/markup-compatibility/2006">
      <mc:Choice Requires="x14">
        <control shapeId="32770" r:id="rId7" name="OptionButton2">
          <controlPr defaultSize="0" altText="" r:id="rId8">
            <anchor moveWithCells="1">
              <from>
                <xdr:col>2</xdr:col>
                <xdr:colOff>508000</xdr:colOff>
                <xdr:row>14</xdr:row>
                <xdr:rowOff>222250</xdr:rowOff>
              </from>
              <to>
                <xdr:col>2</xdr:col>
                <xdr:colOff>666750</xdr:colOff>
                <xdr:row>14</xdr:row>
                <xdr:rowOff>406400</xdr:rowOff>
              </to>
            </anchor>
          </controlPr>
        </control>
      </mc:Choice>
      <mc:Fallback>
        <control shapeId="32770" r:id="rId7" name="OptionButton2"/>
      </mc:Fallback>
    </mc:AlternateContent>
    <mc:AlternateContent xmlns:mc="http://schemas.openxmlformats.org/markup-compatibility/2006">
      <mc:Choice Requires="x14">
        <control shapeId="32771" r:id="rId9" name="OptionButton3">
          <controlPr defaultSize="0" altText="" r:id="rId6">
            <anchor moveWithCells="1">
              <from>
                <xdr:col>2</xdr:col>
                <xdr:colOff>476250</xdr:colOff>
                <xdr:row>18</xdr:row>
                <xdr:rowOff>317500</xdr:rowOff>
              </from>
              <to>
                <xdr:col>2</xdr:col>
                <xdr:colOff>641350</xdr:colOff>
                <xdr:row>19</xdr:row>
                <xdr:rowOff>120650</xdr:rowOff>
              </to>
            </anchor>
          </controlPr>
        </control>
      </mc:Choice>
      <mc:Fallback>
        <control shapeId="32771" r:id="rId9" name="OptionButton3"/>
      </mc:Fallback>
    </mc:AlternateContent>
    <mc:AlternateContent xmlns:mc="http://schemas.openxmlformats.org/markup-compatibility/2006">
      <mc:Choice Requires="x14">
        <control shapeId="32772" r:id="rId10" name="OptionButton4">
          <controlPr defaultSize="0" altText="" r:id="rId6">
            <anchor moveWithCells="1">
              <from>
                <xdr:col>2</xdr:col>
                <xdr:colOff>476250</xdr:colOff>
                <xdr:row>23</xdr:row>
                <xdr:rowOff>19050</xdr:rowOff>
              </from>
              <to>
                <xdr:col>2</xdr:col>
                <xdr:colOff>641350</xdr:colOff>
                <xdr:row>23</xdr:row>
                <xdr:rowOff>203200</xdr:rowOff>
              </to>
            </anchor>
          </controlPr>
        </control>
      </mc:Choice>
      <mc:Fallback>
        <control shapeId="32772" r:id="rId10" name="OptionButton4"/>
      </mc:Fallback>
    </mc:AlternateContent>
    <mc:AlternateContent xmlns:mc="http://schemas.openxmlformats.org/markup-compatibility/2006">
      <mc:Choice Requires="x14">
        <control shapeId="32773" r:id="rId11" name="OptionButton5">
          <controlPr defaultSize="0" altText="" r:id="rId6">
            <anchor moveWithCells="1">
              <from>
                <xdr:col>2</xdr:col>
                <xdr:colOff>488950</xdr:colOff>
                <xdr:row>26</xdr:row>
                <xdr:rowOff>19050</xdr:rowOff>
              </from>
              <to>
                <xdr:col>2</xdr:col>
                <xdr:colOff>654050</xdr:colOff>
                <xdr:row>26</xdr:row>
                <xdr:rowOff>203200</xdr:rowOff>
              </to>
            </anchor>
          </controlPr>
        </control>
      </mc:Choice>
      <mc:Fallback>
        <control shapeId="32773" r:id="rId11" name="OptionButton5"/>
      </mc:Fallback>
    </mc:AlternateContent>
    <mc:AlternateContent xmlns:mc="http://schemas.openxmlformats.org/markup-compatibility/2006">
      <mc:Choice Requires="x14">
        <control shapeId="32774" r:id="rId12" name="OptionButton6">
          <controlPr defaultSize="0" altText="" r:id="rId6">
            <anchor moveWithCells="1">
              <from>
                <xdr:col>2</xdr:col>
                <xdr:colOff>469900</xdr:colOff>
                <xdr:row>33</xdr:row>
                <xdr:rowOff>336550</xdr:rowOff>
              </from>
              <to>
                <xdr:col>2</xdr:col>
                <xdr:colOff>635000</xdr:colOff>
                <xdr:row>34</xdr:row>
                <xdr:rowOff>63500</xdr:rowOff>
              </to>
            </anchor>
          </controlPr>
        </control>
      </mc:Choice>
      <mc:Fallback>
        <control shapeId="32774" r:id="rId12" name="OptionButton6"/>
      </mc:Fallback>
    </mc:AlternateContent>
    <mc:AlternateContent xmlns:mc="http://schemas.openxmlformats.org/markup-compatibility/2006">
      <mc:Choice Requires="x14">
        <control shapeId="32777" r:id="rId13" name="OptionButton9">
          <controlPr defaultSize="0" altText="" r:id="rId8">
            <anchor moveWithCells="1">
              <from>
                <xdr:col>2</xdr:col>
                <xdr:colOff>457200</xdr:colOff>
                <xdr:row>46</xdr:row>
                <xdr:rowOff>114300</xdr:rowOff>
              </from>
              <to>
                <xdr:col>2</xdr:col>
                <xdr:colOff>615950</xdr:colOff>
                <xdr:row>46</xdr:row>
                <xdr:rowOff>298450</xdr:rowOff>
              </to>
            </anchor>
          </controlPr>
        </control>
      </mc:Choice>
      <mc:Fallback>
        <control shapeId="32777" r:id="rId13" name="OptionButton9"/>
      </mc:Fallback>
    </mc:AlternateContent>
    <mc:AlternateContent xmlns:mc="http://schemas.openxmlformats.org/markup-compatibility/2006">
      <mc:Choice Requires="x14">
        <control shapeId="32778" r:id="rId14" name="OptionButton10">
          <controlPr defaultSize="0" altText="" r:id="rId15">
            <anchor moveWithCells="1">
              <from>
                <xdr:col>2</xdr:col>
                <xdr:colOff>469900</xdr:colOff>
                <xdr:row>48</xdr:row>
                <xdr:rowOff>95250</xdr:rowOff>
              </from>
              <to>
                <xdr:col>2</xdr:col>
                <xdr:colOff>628650</xdr:colOff>
                <xdr:row>48</xdr:row>
                <xdr:rowOff>279400</xdr:rowOff>
              </to>
            </anchor>
          </controlPr>
        </control>
      </mc:Choice>
      <mc:Fallback>
        <control shapeId="32778" r:id="rId14" name="OptionButton10"/>
      </mc:Fallback>
    </mc:AlternateContent>
    <mc:AlternateContent xmlns:mc="http://schemas.openxmlformats.org/markup-compatibility/2006">
      <mc:Choice Requires="x14">
        <control shapeId="32779" r:id="rId16" name="OptionButton11">
          <controlPr defaultSize="0" altText="" r:id="rId8">
            <anchor moveWithCells="1">
              <from>
                <xdr:col>6</xdr:col>
                <xdr:colOff>508000</xdr:colOff>
                <xdr:row>9</xdr:row>
                <xdr:rowOff>279400</xdr:rowOff>
              </from>
              <to>
                <xdr:col>6</xdr:col>
                <xdr:colOff>666750</xdr:colOff>
                <xdr:row>9</xdr:row>
                <xdr:rowOff>463550</xdr:rowOff>
              </to>
            </anchor>
          </controlPr>
        </control>
      </mc:Choice>
      <mc:Fallback>
        <control shapeId="32779" r:id="rId16" name="OptionButton11"/>
      </mc:Fallback>
    </mc:AlternateContent>
    <mc:AlternateContent xmlns:mc="http://schemas.openxmlformats.org/markup-compatibility/2006">
      <mc:Choice Requires="x14">
        <control shapeId="32780" r:id="rId17" name="OptionButton12">
          <controlPr defaultSize="0" altText="" r:id="rId15">
            <anchor moveWithCells="1">
              <from>
                <xdr:col>6</xdr:col>
                <xdr:colOff>533400</xdr:colOff>
                <xdr:row>14</xdr:row>
                <xdr:rowOff>190500</xdr:rowOff>
              </from>
              <to>
                <xdr:col>6</xdr:col>
                <xdr:colOff>692150</xdr:colOff>
                <xdr:row>14</xdr:row>
                <xdr:rowOff>374650</xdr:rowOff>
              </to>
            </anchor>
          </controlPr>
        </control>
      </mc:Choice>
      <mc:Fallback>
        <control shapeId="32780" r:id="rId17" name="OptionButton12"/>
      </mc:Fallback>
    </mc:AlternateContent>
    <mc:AlternateContent xmlns:mc="http://schemas.openxmlformats.org/markup-compatibility/2006">
      <mc:Choice Requires="x14">
        <control shapeId="32781" r:id="rId18" name="OptionButton13">
          <controlPr defaultSize="0" altText="" r:id="rId6">
            <anchor moveWithCells="1">
              <from>
                <xdr:col>6</xdr:col>
                <xdr:colOff>514350</xdr:colOff>
                <xdr:row>18</xdr:row>
                <xdr:rowOff>247650</xdr:rowOff>
              </from>
              <to>
                <xdr:col>6</xdr:col>
                <xdr:colOff>679450</xdr:colOff>
                <xdr:row>19</xdr:row>
                <xdr:rowOff>50800</xdr:rowOff>
              </to>
            </anchor>
          </controlPr>
        </control>
      </mc:Choice>
      <mc:Fallback>
        <control shapeId="32781" r:id="rId18" name="OptionButton13"/>
      </mc:Fallback>
    </mc:AlternateContent>
    <mc:AlternateContent xmlns:mc="http://schemas.openxmlformats.org/markup-compatibility/2006">
      <mc:Choice Requires="x14">
        <control shapeId="32782" r:id="rId19" name="OptionButton14">
          <controlPr defaultSize="0" altText="" r:id="rId6">
            <anchor moveWithCells="1">
              <from>
                <xdr:col>6</xdr:col>
                <xdr:colOff>514350</xdr:colOff>
                <xdr:row>23</xdr:row>
                <xdr:rowOff>0</xdr:rowOff>
              </from>
              <to>
                <xdr:col>6</xdr:col>
                <xdr:colOff>679450</xdr:colOff>
                <xdr:row>23</xdr:row>
                <xdr:rowOff>184150</xdr:rowOff>
              </to>
            </anchor>
          </controlPr>
        </control>
      </mc:Choice>
      <mc:Fallback>
        <control shapeId="32782" r:id="rId19" name="OptionButton14"/>
      </mc:Fallback>
    </mc:AlternateContent>
    <mc:AlternateContent xmlns:mc="http://schemas.openxmlformats.org/markup-compatibility/2006">
      <mc:Choice Requires="x14">
        <control shapeId="32783" r:id="rId20" name="OptionButton15">
          <controlPr defaultSize="0" altText="" r:id="rId6">
            <anchor moveWithCells="1">
              <from>
                <xdr:col>6</xdr:col>
                <xdr:colOff>495300</xdr:colOff>
                <xdr:row>26</xdr:row>
                <xdr:rowOff>0</xdr:rowOff>
              </from>
              <to>
                <xdr:col>6</xdr:col>
                <xdr:colOff>660400</xdr:colOff>
                <xdr:row>26</xdr:row>
                <xdr:rowOff>184150</xdr:rowOff>
              </to>
            </anchor>
          </controlPr>
        </control>
      </mc:Choice>
      <mc:Fallback>
        <control shapeId="32783" r:id="rId20" name="OptionButton15"/>
      </mc:Fallback>
    </mc:AlternateContent>
    <mc:AlternateContent xmlns:mc="http://schemas.openxmlformats.org/markup-compatibility/2006">
      <mc:Choice Requires="x14">
        <control shapeId="32784" r:id="rId21" name="OptionButton16">
          <controlPr defaultSize="0" altText="" r:id="rId6">
            <anchor moveWithCells="1">
              <from>
                <xdr:col>6</xdr:col>
                <xdr:colOff>527050</xdr:colOff>
                <xdr:row>33</xdr:row>
                <xdr:rowOff>317500</xdr:rowOff>
              </from>
              <to>
                <xdr:col>6</xdr:col>
                <xdr:colOff>692150</xdr:colOff>
                <xdr:row>34</xdr:row>
                <xdr:rowOff>44450</xdr:rowOff>
              </to>
            </anchor>
          </controlPr>
        </control>
      </mc:Choice>
      <mc:Fallback>
        <control shapeId="32784" r:id="rId21" name="OptionButton16"/>
      </mc:Fallback>
    </mc:AlternateContent>
    <mc:AlternateContent xmlns:mc="http://schemas.openxmlformats.org/markup-compatibility/2006">
      <mc:Choice Requires="x14">
        <control shapeId="32785" r:id="rId22" name="OptionButton17">
          <controlPr defaultSize="0" altText="" r:id="rId6">
            <anchor moveWithCells="1">
              <from>
                <xdr:col>6</xdr:col>
                <xdr:colOff>495300</xdr:colOff>
                <xdr:row>38</xdr:row>
                <xdr:rowOff>152400</xdr:rowOff>
              </from>
              <to>
                <xdr:col>6</xdr:col>
                <xdr:colOff>660400</xdr:colOff>
                <xdr:row>38</xdr:row>
                <xdr:rowOff>336550</xdr:rowOff>
              </to>
            </anchor>
          </controlPr>
        </control>
      </mc:Choice>
      <mc:Fallback>
        <control shapeId="32785" r:id="rId22" name="OptionButton17"/>
      </mc:Fallback>
    </mc:AlternateContent>
    <mc:AlternateContent xmlns:mc="http://schemas.openxmlformats.org/markup-compatibility/2006">
      <mc:Choice Requires="x14">
        <control shapeId="32786" r:id="rId23" name="OptionButton18">
          <controlPr defaultSize="0" altText="" r:id="rId6">
            <anchor moveWithCells="1">
              <from>
                <xdr:col>6</xdr:col>
                <xdr:colOff>508000</xdr:colOff>
                <xdr:row>42</xdr:row>
                <xdr:rowOff>355600</xdr:rowOff>
              </from>
              <to>
                <xdr:col>6</xdr:col>
                <xdr:colOff>673100</xdr:colOff>
                <xdr:row>43</xdr:row>
                <xdr:rowOff>44450</xdr:rowOff>
              </to>
            </anchor>
          </controlPr>
        </control>
      </mc:Choice>
      <mc:Fallback>
        <control shapeId="32786" r:id="rId23" name="OptionButton18"/>
      </mc:Fallback>
    </mc:AlternateContent>
    <mc:AlternateContent xmlns:mc="http://schemas.openxmlformats.org/markup-compatibility/2006">
      <mc:Choice Requires="x14">
        <control shapeId="32787" r:id="rId24" name="OptionButton19">
          <controlPr defaultSize="0" altText="" r:id="rId15">
            <anchor moveWithCells="1">
              <from>
                <xdr:col>6</xdr:col>
                <xdr:colOff>495300</xdr:colOff>
                <xdr:row>46</xdr:row>
                <xdr:rowOff>127000</xdr:rowOff>
              </from>
              <to>
                <xdr:col>6</xdr:col>
                <xdr:colOff>654050</xdr:colOff>
                <xdr:row>46</xdr:row>
                <xdr:rowOff>311150</xdr:rowOff>
              </to>
            </anchor>
          </controlPr>
        </control>
      </mc:Choice>
      <mc:Fallback>
        <control shapeId="32787" r:id="rId24" name="OptionButton19"/>
      </mc:Fallback>
    </mc:AlternateContent>
    <mc:AlternateContent xmlns:mc="http://schemas.openxmlformats.org/markup-compatibility/2006">
      <mc:Choice Requires="x14">
        <control shapeId="32788" r:id="rId25" name="OptionButton20">
          <controlPr defaultSize="0" altText="" r:id="rId8">
            <anchor moveWithCells="1">
              <from>
                <xdr:col>6</xdr:col>
                <xdr:colOff>495300</xdr:colOff>
                <xdr:row>48</xdr:row>
                <xdr:rowOff>107950</xdr:rowOff>
              </from>
              <to>
                <xdr:col>6</xdr:col>
                <xdr:colOff>654050</xdr:colOff>
                <xdr:row>48</xdr:row>
                <xdr:rowOff>292100</xdr:rowOff>
              </to>
            </anchor>
          </controlPr>
        </control>
      </mc:Choice>
      <mc:Fallback>
        <control shapeId="32788" r:id="rId25" name="OptionButton20"/>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K60"/>
  <sheetViews>
    <sheetView view="pageBreakPreview" zoomScale="55" zoomScaleNormal="100" workbookViewId="0">
      <selection activeCell="I9" sqref="I9:I13"/>
    </sheetView>
  </sheetViews>
  <sheetFormatPr defaultColWidth="9" defaultRowHeight="14.5"/>
  <cols>
    <col min="1" max="1" width="22" style="83" customWidth="1"/>
    <col min="2" max="2" width="15" style="84" customWidth="1"/>
    <col min="3" max="3" width="2.453125" style="85" customWidth="1"/>
    <col min="4" max="4" width="56.26953125" style="85" customWidth="1"/>
    <col min="5" max="5" width="30.1796875" style="84" customWidth="1"/>
    <col min="6" max="6" width="14.81640625" style="86" customWidth="1"/>
    <col min="7" max="7" width="2.453125" style="87" customWidth="1"/>
    <col min="8" max="8" width="56.1796875" style="87" customWidth="1"/>
    <col min="9" max="9" width="31.1796875" style="87" customWidth="1"/>
    <col min="10" max="10" width="9.1796875" customWidth="1"/>
  </cols>
  <sheetData>
    <row r="1" spans="1:10" ht="34.5" customHeight="1">
      <c r="A1" s="368" t="s">
        <v>665</v>
      </c>
      <c r="B1" s="369"/>
      <c r="C1" s="369"/>
      <c r="D1" s="369"/>
      <c r="E1" s="369"/>
      <c r="F1" s="369"/>
      <c r="G1" s="369"/>
      <c r="H1" s="369"/>
      <c r="I1" s="370"/>
    </row>
    <row r="2" spans="1:10">
      <c r="A2" s="558" t="s">
        <v>2</v>
      </c>
      <c r="B2" s="559"/>
      <c r="C2" s="559"/>
      <c r="D2" s="559"/>
      <c r="E2" s="559"/>
      <c r="F2" s="559"/>
      <c r="G2" s="559"/>
      <c r="H2" s="559"/>
      <c r="I2" s="560"/>
    </row>
    <row r="3" spans="1:10">
      <c r="A3" s="561"/>
      <c r="B3" s="562"/>
      <c r="C3" s="562"/>
      <c r="D3" s="562"/>
      <c r="E3" s="562"/>
      <c r="F3" s="562"/>
      <c r="G3" s="562"/>
      <c r="H3" s="562"/>
      <c r="I3" s="563"/>
    </row>
    <row r="4" spans="1:10">
      <c r="A4" s="287" t="s">
        <v>3</v>
      </c>
      <c r="B4" s="288"/>
      <c r="C4" s="288"/>
      <c r="D4" s="288"/>
      <c r="E4" s="288"/>
      <c r="F4" s="288"/>
      <c r="G4" s="288"/>
      <c r="H4" s="288"/>
      <c r="I4" s="289"/>
    </row>
    <row r="5" spans="1:10" ht="28.5" customHeight="1">
      <c r="A5" s="290"/>
      <c r="B5" s="291"/>
      <c r="C5" s="291"/>
      <c r="D5" s="291"/>
      <c r="E5" s="291"/>
      <c r="F5" s="291"/>
      <c r="G5" s="291"/>
      <c r="H5" s="291"/>
      <c r="I5" s="292"/>
    </row>
    <row r="6" spans="1:10">
      <c r="A6" s="566" t="s">
        <v>4</v>
      </c>
      <c r="B6" s="567"/>
      <c r="C6" s="567"/>
      <c r="D6" s="567"/>
      <c r="E6" s="567"/>
      <c r="F6" s="567"/>
      <c r="G6" s="567"/>
      <c r="H6" s="567"/>
      <c r="I6" s="568"/>
    </row>
    <row r="7" spans="1:10" ht="15" thickBot="1">
      <c r="A7" s="88"/>
      <c r="B7" s="89"/>
      <c r="C7" s="89"/>
      <c r="D7" s="89"/>
      <c r="E7" s="89"/>
      <c r="F7" s="89"/>
      <c r="G7" s="89"/>
      <c r="H7" s="89"/>
      <c r="I7" s="111"/>
    </row>
    <row r="8" spans="1:10" ht="36" customHeight="1" thickBot="1">
      <c r="A8" s="31" t="s">
        <v>306</v>
      </c>
      <c r="B8" s="32" t="s">
        <v>7</v>
      </c>
      <c r="C8" s="569" t="s">
        <v>8</v>
      </c>
      <c r="D8" s="569"/>
      <c r="E8" s="164" t="s">
        <v>708</v>
      </c>
      <c r="F8" s="90" t="s">
        <v>7</v>
      </c>
      <c r="G8" s="570" t="s">
        <v>9</v>
      </c>
      <c r="H8" s="571"/>
      <c r="I8" s="164" t="s">
        <v>708</v>
      </c>
      <c r="J8" s="112"/>
    </row>
    <row r="9" spans="1:10" ht="30" customHeight="1">
      <c r="A9" s="666" t="s">
        <v>666</v>
      </c>
      <c r="B9" s="424" t="s">
        <v>11</v>
      </c>
      <c r="C9" s="676" t="s">
        <v>358</v>
      </c>
      <c r="D9" s="642" t="s">
        <v>667</v>
      </c>
      <c r="E9" s="642"/>
      <c r="F9" s="424" t="s">
        <v>11</v>
      </c>
      <c r="G9" s="91" t="s">
        <v>15</v>
      </c>
      <c r="H9" s="92" t="s">
        <v>668</v>
      </c>
      <c r="I9" s="639"/>
      <c r="J9" s="113"/>
    </row>
    <row r="10" spans="1:10" ht="21">
      <c r="A10" s="667"/>
      <c r="B10" s="425"/>
      <c r="C10" s="677"/>
      <c r="D10" s="665"/>
      <c r="E10" s="665"/>
      <c r="F10" s="425"/>
      <c r="G10" s="93" t="s">
        <v>19</v>
      </c>
      <c r="H10" s="94" t="s">
        <v>669</v>
      </c>
      <c r="I10" s="640"/>
      <c r="J10" s="113"/>
    </row>
    <row r="11" spans="1:10" ht="21">
      <c r="A11" s="667"/>
      <c r="B11" s="425"/>
      <c r="C11" s="677"/>
      <c r="D11" s="665"/>
      <c r="E11" s="665"/>
      <c r="F11" s="425"/>
      <c r="G11" s="93" t="s">
        <v>24</v>
      </c>
      <c r="H11" s="94" t="s">
        <v>56</v>
      </c>
      <c r="I11" s="640"/>
      <c r="J11" s="113"/>
    </row>
    <row r="12" spans="1:10" ht="21">
      <c r="A12" s="667"/>
      <c r="B12" s="425"/>
      <c r="C12" s="677"/>
      <c r="D12" s="665"/>
      <c r="E12" s="665"/>
      <c r="F12" s="425"/>
      <c r="G12" s="93" t="s">
        <v>36</v>
      </c>
      <c r="H12" s="94" t="s">
        <v>670</v>
      </c>
      <c r="I12" s="640"/>
      <c r="J12" s="113"/>
    </row>
    <row r="13" spans="1:10" ht="21">
      <c r="A13" s="667"/>
      <c r="B13" s="426"/>
      <c r="C13" s="678"/>
      <c r="D13" s="643"/>
      <c r="E13" s="643"/>
      <c r="F13" s="426"/>
      <c r="G13" s="93" t="s">
        <v>61</v>
      </c>
      <c r="H13" s="95" t="s">
        <v>571</v>
      </c>
      <c r="I13" s="641"/>
      <c r="J13" s="113"/>
    </row>
    <row r="14" spans="1:10" ht="26">
      <c r="A14" s="667"/>
      <c r="B14" s="427" t="s">
        <v>14</v>
      </c>
      <c r="C14" s="93" t="s">
        <v>15</v>
      </c>
      <c r="D14" s="96" t="s">
        <v>671</v>
      </c>
      <c r="E14" s="663"/>
      <c r="F14" s="427" t="s">
        <v>14</v>
      </c>
      <c r="G14" s="93" t="s">
        <v>15</v>
      </c>
      <c r="H14" s="97" t="s">
        <v>668</v>
      </c>
      <c r="I14" s="636"/>
      <c r="J14" s="113"/>
    </row>
    <row r="15" spans="1:10" ht="21">
      <c r="A15" s="667"/>
      <c r="B15" s="428"/>
      <c r="C15" s="679" t="s">
        <v>19</v>
      </c>
      <c r="D15" s="663" t="s">
        <v>672</v>
      </c>
      <c r="E15" s="665"/>
      <c r="F15" s="428"/>
      <c r="G15" s="93" t="s">
        <v>19</v>
      </c>
      <c r="H15" s="94" t="s">
        <v>669</v>
      </c>
      <c r="I15" s="637"/>
      <c r="J15" s="113"/>
    </row>
    <row r="16" spans="1:10" ht="21">
      <c r="A16" s="667"/>
      <c r="B16" s="428"/>
      <c r="C16" s="680"/>
      <c r="D16" s="643"/>
      <c r="E16" s="665"/>
      <c r="F16" s="428"/>
      <c r="G16" s="93" t="s">
        <v>24</v>
      </c>
      <c r="H16" s="94" t="s">
        <v>56</v>
      </c>
      <c r="I16" s="637"/>
      <c r="J16" s="113"/>
    </row>
    <row r="17" spans="1:11" ht="21">
      <c r="A17" s="667"/>
      <c r="B17" s="429"/>
      <c r="C17" s="93" t="s">
        <v>24</v>
      </c>
      <c r="D17" s="96" t="s">
        <v>673</v>
      </c>
      <c r="E17" s="643"/>
      <c r="F17" s="429"/>
      <c r="G17" s="93" t="s">
        <v>36</v>
      </c>
      <c r="H17" s="94" t="s">
        <v>634</v>
      </c>
      <c r="I17" s="638"/>
      <c r="J17" s="113"/>
    </row>
    <row r="18" spans="1:11" ht="26">
      <c r="A18" s="667"/>
      <c r="B18" s="430" t="s">
        <v>17</v>
      </c>
      <c r="C18" s="93" t="s">
        <v>15</v>
      </c>
      <c r="D18" s="96" t="s">
        <v>671</v>
      </c>
      <c r="E18" s="94"/>
      <c r="F18" s="430" t="s">
        <v>17</v>
      </c>
      <c r="G18" s="93" t="s">
        <v>15</v>
      </c>
      <c r="H18" s="98" t="s">
        <v>668</v>
      </c>
      <c r="I18" s="114"/>
      <c r="J18" s="113"/>
    </row>
    <row r="19" spans="1:11" ht="30" customHeight="1">
      <c r="A19" s="667"/>
      <c r="B19" s="431"/>
      <c r="C19" s="679" t="s">
        <v>19</v>
      </c>
      <c r="D19" s="663" t="s">
        <v>674</v>
      </c>
      <c r="E19" s="644"/>
      <c r="F19" s="431"/>
      <c r="G19" s="93" t="s">
        <v>19</v>
      </c>
      <c r="H19" s="94" t="s">
        <v>675</v>
      </c>
      <c r="I19" s="114"/>
      <c r="J19" s="113"/>
    </row>
    <row r="20" spans="1:11" ht="26">
      <c r="A20" s="667"/>
      <c r="B20" s="431"/>
      <c r="C20" s="681"/>
      <c r="D20" s="665"/>
      <c r="E20" s="658"/>
      <c r="F20" s="431"/>
      <c r="G20" s="93" t="s">
        <v>24</v>
      </c>
      <c r="H20" s="94" t="s">
        <v>76</v>
      </c>
      <c r="I20" s="114"/>
      <c r="J20" s="113"/>
    </row>
    <row r="21" spans="1:11" ht="26">
      <c r="A21" s="667"/>
      <c r="B21" s="431"/>
      <c r="C21" s="680"/>
      <c r="D21" s="643"/>
      <c r="E21" s="645"/>
      <c r="F21" s="431"/>
      <c r="G21" s="93" t="s">
        <v>36</v>
      </c>
      <c r="H21" s="94" t="s">
        <v>676</v>
      </c>
      <c r="I21" s="114"/>
      <c r="J21" s="113"/>
    </row>
    <row r="22" spans="1:11" ht="26">
      <c r="A22" s="667"/>
      <c r="B22" s="432"/>
      <c r="C22" s="93" t="s">
        <v>24</v>
      </c>
      <c r="D22" s="96" t="s">
        <v>673</v>
      </c>
      <c r="E22" s="94"/>
      <c r="F22" s="432"/>
      <c r="G22" s="93" t="s">
        <v>61</v>
      </c>
      <c r="H22" s="27" t="s">
        <v>641</v>
      </c>
      <c r="I22" s="114"/>
      <c r="J22" s="113"/>
    </row>
    <row r="23" spans="1:11" ht="26">
      <c r="A23" s="667"/>
      <c r="B23" s="433" t="s">
        <v>22</v>
      </c>
      <c r="C23" s="93" t="s">
        <v>15</v>
      </c>
      <c r="D23" s="96" t="s">
        <v>671</v>
      </c>
      <c r="E23" s="94"/>
      <c r="F23" s="433" t="s">
        <v>22</v>
      </c>
      <c r="G23" s="93" t="s">
        <v>15</v>
      </c>
      <c r="H23" s="97" t="s">
        <v>668</v>
      </c>
      <c r="I23" s="114"/>
      <c r="J23" s="113"/>
    </row>
    <row r="24" spans="1:11" ht="39">
      <c r="A24" s="667"/>
      <c r="B24" s="434"/>
      <c r="C24" s="93" t="s">
        <v>19</v>
      </c>
      <c r="D24" s="94" t="s">
        <v>677</v>
      </c>
      <c r="E24" s="94"/>
      <c r="F24" s="434"/>
      <c r="G24" s="679" t="s">
        <v>19</v>
      </c>
      <c r="H24" s="663" t="s">
        <v>678</v>
      </c>
      <c r="I24" s="114"/>
      <c r="J24" s="113"/>
    </row>
    <row r="25" spans="1:11" ht="21">
      <c r="A25" s="667"/>
      <c r="B25" s="435"/>
      <c r="C25" s="93" t="s">
        <v>24</v>
      </c>
      <c r="D25" s="96" t="s">
        <v>673</v>
      </c>
      <c r="E25" s="94"/>
      <c r="F25" s="435"/>
      <c r="G25" s="680"/>
      <c r="H25" s="643"/>
      <c r="I25" s="114"/>
      <c r="J25" s="113"/>
    </row>
    <row r="26" spans="1:11" ht="26">
      <c r="A26" s="667"/>
      <c r="B26" s="436" t="s">
        <v>26</v>
      </c>
      <c r="C26" s="93" t="s">
        <v>15</v>
      </c>
      <c r="D26" s="96" t="s">
        <v>671</v>
      </c>
      <c r="E26" s="94"/>
      <c r="F26" s="436" t="s">
        <v>26</v>
      </c>
      <c r="G26" s="93" t="s">
        <v>15</v>
      </c>
      <c r="H26" s="94" t="s">
        <v>679</v>
      </c>
      <c r="I26" s="115"/>
      <c r="J26" s="113"/>
    </row>
    <row r="27" spans="1:11" ht="39">
      <c r="A27" s="667"/>
      <c r="B27" s="648"/>
      <c r="C27" s="93" t="s">
        <v>19</v>
      </c>
      <c r="D27" s="94" t="s">
        <v>680</v>
      </c>
      <c r="E27" s="94"/>
      <c r="F27" s="648"/>
      <c r="G27" s="679" t="s">
        <v>19</v>
      </c>
      <c r="H27" s="663" t="s">
        <v>681</v>
      </c>
      <c r="I27" s="115"/>
      <c r="J27" s="113"/>
    </row>
    <row r="28" spans="1:11" ht="26">
      <c r="A28" s="675"/>
      <c r="B28" s="437"/>
      <c r="C28" s="99" t="s">
        <v>24</v>
      </c>
      <c r="D28" s="100" t="s">
        <v>682</v>
      </c>
      <c r="E28" s="100"/>
      <c r="F28" s="437"/>
      <c r="G28" s="682"/>
      <c r="H28" s="683"/>
      <c r="I28" s="116"/>
      <c r="J28" s="113"/>
    </row>
    <row r="29" spans="1:11" ht="21" customHeight="1">
      <c r="A29" s="287" t="s">
        <v>3</v>
      </c>
      <c r="B29" s="288"/>
      <c r="C29" s="288"/>
      <c r="D29" s="288"/>
      <c r="E29" s="288"/>
      <c r="F29" s="288"/>
      <c r="G29" s="288"/>
      <c r="H29" s="288"/>
      <c r="I29" s="289"/>
      <c r="J29" s="113"/>
    </row>
    <row r="30" spans="1:11" ht="21">
      <c r="A30" s="290"/>
      <c r="B30" s="291"/>
      <c r="C30" s="291"/>
      <c r="D30" s="291"/>
      <c r="E30" s="291"/>
      <c r="F30" s="291"/>
      <c r="G30" s="291"/>
      <c r="H30" s="291"/>
      <c r="I30" s="292"/>
      <c r="J30" s="112"/>
      <c r="K30" s="112"/>
    </row>
    <row r="31" spans="1:11" ht="21" customHeight="1">
      <c r="A31" s="666" t="s">
        <v>683</v>
      </c>
      <c r="B31" s="424" t="s">
        <v>11</v>
      </c>
      <c r="C31" s="651" t="s">
        <v>358</v>
      </c>
      <c r="D31" s="664" t="s">
        <v>684</v>
      </c>
      <c r="E31" s="657"/>
      <c r="F31" s="424" t="s">
        <v>11</v>
      </c>
      <c r="G31" s="101" t="s">
        <v>15</v>
      </c>
      <c r="H31" s="94" t="s">
        <v>669</v>
      </c>
      <c r="I31" s="639"/>
      <c r="J31" s="112"/>
    </row>
    <row r="32" spans="1:11" ht="21">
      <c r="A32" s="667"/>
      <c r="B32" s="425"/>
      <c r="C32" s="652"/>
      <c r="D32" s="661"/>
      <c r="E32" s="658"/>
      <c r="F32" s="425"/>
      <c r="G32" s="101" t="s">
        <v>19</v>
      </c>
      <c r="H32" s="94" t="s">
        <v>56</v>
      </c>
      <c r="I32" s="640"/>
      <c r="J32" s="112"/>
    </row>
    <row r="33" spans="1:10" ht="21">
      <c r="A33" s="667"/>
      <c r="B33" s="425"/>
      <c r="C33" s="652"/>
      <c r="D33" s="661"/>
      <c r="E33" s="658"/>
      <c r="F33" s="425"/>
      <c r="G33" s="101" t="s">
        <v>24</v>
      </c>
      <c r="H33" s="94" t="s">
        <v>670</v>
      </c>
      <c r="I33" s="640"/>
      <c r="J33" s="112"/>
    </row>
    <row r="34" spans="1:10" ht="21">
      <c r="A34" s="667"/>
      <c r="B34" s="425"/>
      <c r="C34" s="652"/>
      <c r="D34" s="661"/>
      <c r="E34" s="658"/>
      <c r="F34" s="425"/>
      <c r="G34" s="101" t="s">
        <v>36</v>
      </c>
      <c r="H34" s="95" t="s">
        <v>571</v>
      </c>
      <c r="I34" s="640"/>
      <c r="J34" s="112"/>
    </row>
    <row r="35" spans="1:10" ht="26">
      <c r="A35" s="667"/>
      <c r="B35" s="426"/>
      <c r="C35" s="653"/>
      <c r="D35" s="662"/>
      <c r="E35" s="645"/>
      <c r="F35" s="426"/>
      <c r="G35" s="101" t="s">
        <v>61</v>
      </c>
      <c r="H35" s="94" t="s">
        <v>685</v>
      </c>
      <c r="I35" s="641"/>
      <c r="J35" s="112"/>
    </row>
    <row r="36" spans="1:10" ht="26.25" customHeight="1">
      <c r="A36" s="667"/>
      <c r="B36" s="427" t="s">
        <v>14</v>
      </c>
      <c r="C36" s="654" t="s">
        <v>358</v>
      </c>
      <c r="D36" s="660" t="s">
        <v>686</v>
      </c>
      <c r="E36" s="644"/>
      <c r="F36" s="427" t="s">
        <v>14</v>
      </c>
      <c r="G36" s="101" t="s">
        <v>15</v>
      </c>
      <c r="H36" s="94" t="s">
        <v>669</v>
      </c>
      <c r="I36" s="636"/>
      <c r="J36" s="112"/>
    </row>
    <row r="37" spans="1:10" ht="30.75" customHeight="1">
      <c r="A37" s="667"/>
      <c r="B37" s="428"/>
      <c r="C37" s="655"/>
      <c r="D37" s="661"/>
      <c r="E37" s="658"/>
      <c r="F37" s="428"/>
      <c r="G37" s="101" t="s">
        <v>19</v>
      </c>
      <c r="H37" s="94" t="s">
        <v>56</v>
      </c>
      <c r="I37" s="637"/>
      <c r="J37" s="112"/>
    </row>
    <row r="38" spans="1:10" ht="26.25" customHeight="1">
      <c r="A38" s="667"/>
      <c r="B38" s="428"/>
      <c r="C38" s="655"/>
      <c r="D38" s="661"/>
      <c r="E38" s="658"/>
      <c r="F38" s="428"/>
      <c r="G38" s="101" t="s">
        <v>24</v>
      </c>
      <c r="H38" s="94" t="s">
        <v>634</v>
      </c>
      <c r="I38" s="637"/>
      <c r="J38" s="112"/>
    </row>
    <row r="39" spans="1:10" ht="30" customHeight="1">
      <c r="A39" s="667"/>
      <c r="B39" s="429"/>
      <c r="C39" s="656"/>
      <c r="D39" s="662"/>
      <c r="E39" s="645"/>
      <c r="F39" s="429"/>
      <c r="G39" s="101" t="s">
        <v>36</v>
      </c>
      <c r="H39" s="94" t="s">
        <v>685</v>
      </c>
      <c r="I39" s="638"/>
      <c r="J39" s="112"/>
    </row>
    <row r="40" spans="1:10" ht="21" customHeight="1">
      <c r="A40" s="667"/>
      <c r="B40" s="430" t="s">
        <v>17</v>
      </c>
      <c r="C40" s="654" t="s">
        <v>358</v>
      </c>
      <c r="D40" s="660" t="s">
        <v>687</v>
      </c>
      <c r="E40" s="644"/>
      <c r="F40" s="430" t="s">
        <v>17</v>
      </c>
      <c r="G40" s="101" t="s">
        <v>15</v>
      </c>
      <c r="H40" s="94" t="s">
        <v>688</v>
      </c>
      <c r="I40" s="636"/>
      <c r="J40" s="112"/>
    </row>
    <row r="41" spans="1:10" ht="26">
      <c r="A41" s="667"/>
      <c r="B41" s="431"/>
      <c r="C41" s="655"/>
      <c r="D41" s="661"/>
      <c r="E41" s="658"/>
      <c r="F41" s="431"/>
      <c r="G41" s="101" t="s">
        <v>19</v>
      </c>
      <c r="H41" s="102" t="s">
        <v>611</v>
      </c>
      <c r="I41" s="637"/>
      <c r="J41" s="112"/>
    </row>
    <row r="42" spans="1:10" ht="26">
      <c r="A42" s="667"/>
      <c r="B42" s="431"/>
      <c r="C42" s="655"/>
      <c r="D42" s="661"/>
      <c r="E42" s="658"/>
      <c r="F42" s="431"/>
      <c r="G42" s="101" t="s">
        <v>24</v>
      </c>
      <c r="H42" s="102" t="s">
        <v>612</v>
      </c>
      <c r="I42" s="637"/>
      <c r="J42" s="112"/>
    </row>
    <row r="43" spans="1:10" ht="23.25" customHeight="1">
      <c r="A43" s="667"/>
      <c r="B43" s="431"/>
      <c r="C43" s="655"/>
      <c r="D43" s="661"/>
      <c r="E43" s="658"/>
      <c r="F43" s="431"/>
      <c r="G43" s="101" t="s">
        <v>36</v>
      </c>
      <c r="H43" s="94" t="s">
        <v>689</v>
      </c>
      <c r="I43" s="637"/>
      <c r="J43" s="112"/>
    </row>
    <row r="44" spans="1:10" ht="26">
      <c r="A44" s="667"/>
      <c r="B44" s="432"/>
      <c r="C44" s="656"/>
      <c r="D44" s="662"/>
      <c r="E44" s="645"/>
      <c r="F44" s="432"/>
      <c r="G44" s="101" t="s">
        <v>61</v>
      </c>
      <c r="H44" s="27" t="s">
        <v>641</v>
      </c>
      <c r="I44" s="638"/>
      <c r="J44" s="112"/>
    </row>
    <row r="45" spans="1:10" ht="55.5" customHeight="1">
      <c r="A45" s="667"/>
      <c r="B45" s="433" t="s">
        <v>22</v>
      </c>
      <c r="C45" s="654" t="s">
        <v>358</v>
      </c>
      <c r="D45" s="663" t="s">
        <v>690</v>
      </c>
      <c r="E45" s="644"/>
      <c r="F45" s="433" t="s">
        <v>22</v>
      </c>
      <c r="G45" s="101" t="s">
        <v>15</v>
      </c>
      <c r="H45" s="94" t="s">
        <v>691</v>
      </c>
      <c r="I45" s="636"/>
      <c r="J45" s="112"/>
    </row>
    <row r="46" spans="1:10" ht="71.25" customHeight="1">
      <c r="A46" s="667"/>
      <c r="B46" s="435"/>
      <c r="C46" s="656"/>
      <c r="D46" s="643"/>
      <c r="E46" s="645"/>
      <c r="F46" s="435"/>
      <c r="G46" s="101" t="s">
        <v>19</v>
      </c>
      <c r="H46" s="94" t="s">
        <v>692</v>
      </c>
      <c r="I46" s="638"/>
      <c r="J46" s="112"/>
    </row>
    <row r="47" spans="1:10" ht="26">
      <c r="A47" s="667"/>
      <c r="B47" s="436" t="s">
        <v>26</v>
      </c>
      <c r="C47" s="654" t="s">
        <v>358</v>
      </c>
      <c r="D47" s="663" t="s">
        <v>693</v>
      </c>
      <c r="E47" s="644"/>
      <c r="F47" s="436" t="s">
        <v>26</v>
      </c>
      <c r="G47" s="101" t="s">
        <v>15</v>
      </c>
      <c r="H47" s="94" t="s">
        <v>694</v>
      </c>
      <c r="I47" s="115"/>
      <c r="J47" s="112"/>
    </row>
    <row r="48" spans="1:10" ht="21">
      <c r="A48" s="668"/>
      <c r="B48" s="659"/>
      <c r="C48" s="656"/>
      <c r="D48" s="643"/>
      <c r="E48" s="645"/>
      <c r="F48" s="659"/>
      <c r="G48" s="101" t="s">
        <v>19</v>
      </c>
      <c r="H48" s="94" t="s">
        <v>695</v>
      </c>
      <c r="I48" s="115"/>
      <c r="J48" s="112"/>
    </row>
    <row r="49" spans="1:11" ht="21" customHeight="1">
      <c r="A49" s="287" t="s">
        <v>3</v>
      </c>
      <c r="B49" s="288"/>
      <c r="C49" s="288"/>
      <c r="D49" s="288"/>
      <c r="E49" s="288"/>
      <c r="F49" s="288"/>
      <c r="G49" s="288"/>
      <c r="H49" s="288"/>
      <c r="I49" s="289"/>
      <c r="J49" s="112"/>
    </row>
    <row r="50" spans="1:11" ht="30.75" customHeight="1">
      <c r="A50" s="290"/>
      <c r="B50" s="291"/>
      <c r="C50" s="291"/>
      <c r="D50" s="291"/>
      <c r="E50" s="291"/>
      <c r="F50" s="291"/>
      <c r="G50" s="291"/>
      <c r="H50" s="291"/>
      <c r="I50" s="292"/>
      <c r="J50" s="112"/>
      <c r="K50" s="112"/>
    </row>
    <row r="51" spans="1:11" ht="40.5" customHeight="1">
      <c r="A51" s="669" t="s">
        <v>696</v>
      </c>
      <c r="B51" s="424" t="s">
        <v>11</v>
      </c>
      <c r="C51" s="672" t="s">
        <v>358</v>
      </c>
      <c r="D51" s="664" t="s">
        <v>697</v>
      </c>
      <c r="E51" s="642"/>
      <c r="F51" s="424" t="s">
        <v>11</v>
      </c>
      <c r="G51" s="103" t="s">
        <v>15</v>
      </c>
      <c r="H51" s="104" t="s">
        <v>698</v>
      </c>
      <c r="I51" s="634"/>
      <c r="J51" s="112"/>
    </row>
    <row r="52" spans="1:11" ht="43.5" customHeight="1">
      <c r="A52" s="670"/>
      <c r="B52" s="426"/>
      <c r="C52" s="656"/>
      <c r="D52" s="662"/>
      <c r="E52" s="643"/>
      <c r="F52" s="426"/>
      <c r="G52" s="105" t="s">
        <v>19</v>
      </c>
      <c r="H52" s="106" t="s">
        <v>699</v>
      </c>
      <c r="I52" s="635"/>
      <c r="J52" s="112"/>
    </row>
    <row r="53" spans="1:11" ht="63" customHeight="1">
      <c r="A53" s="670"/>
      <c r="B53" s="21" t="s">
        <v>14</v>
      </c>
      <c r="C53" s="107" t="s">
        <v>358</v>
      </c>
      <c r="D53" s="94" t="s">
        <v>700</v>
      </c>
      <c r="E53" s="94"/>
      <c r="F53" s="21" t="s">
        <v>14</v>
      </c>
      <c r="G53" s="108"/>
      <c r="H53" s="109"/>
      <c r="I53" s="117"/>
      <c r="J53" s="112"/>
    </row>
    <row r="54" spans="1:11" ht="26">
      <c r="A54" s="670"/>
      <c r="B54" s="430" t="s">
        <v>17</v>
      </c>
      <c r="C54" s="654" t="s">
        <v>358</v>
      </c>
      <c r="D54" s="660" t="s">
        <v>701</v>
      </c>
      <c r="E54" s="644"/>
      <c r="F54" s="430" t="s">
        <v>17</v>
      </c>
      <c r="G54" s="105" t="s">
        <v>15</v>
      </c>
      <c r="H54" s="94" t="s">
        <v>702</v>
      </c>
      <c r="I54" s="115"/>
      <c r="J54" s="112"/>
    </row>
    <row r="55" spans="1:11" ht="21">
      <c r="A55" s="670"/>
      <c r="B55" s="432"/>
      <c r="C55" s="656"/>
      <c r="D55" s="662"/>
      <c r="E55" s="645"/>
      <c r="F55" s="432"/>
      <c r="G55" s="105" t="s">
        <v>19</v>
      </c>
      <c r="H55" s="94" t="s">
        <v>703</v>
      </c>
      <c r="I55" s="115"/>
      <c r="J55" s="112"/>
    </row>
    <row r="56" spans="1:11" ht="54" customHeight="1">
      <c r="A56" s="670"/>
      <c r="B56" s="22" t="s">
        <v>22</v>
      </c>
      <c r="C56" s="107" t="s">
        <v>358</v>
      </c>
      <c r="D56" s="94" t="s">
        <v>704</v>
      </c>
      <c r="E56" s="94"/>
      <c r="F56" s="22" t="s">
        <v>22</v>
      </c>
      <c r="G56" s="108"/>
      <c r="H56" s="109"/>
      <c r="I56" s="117"/>
      <c r="J56" s="112"/>
    </row>
    <row r="57" spans="1:11" ht="26">
      <c r="A57" s="670"/>
      <c r="B57" s="450" t="s">
        <v>26</v>
      </c>
      <c r="C57" s="673" t="s">
        <v>358</v>
      </c>
      <c r="D57" s="649" t="s">
        <v>705</v>
      </c>
      <c r="E57" s="646"/>
      <c r="F57" s="450" t="s">
        <v>26</v>
      </c>
      <c r="G57" s="108" t="s">
        <v>15</v>
      </c>
      <c r="H57" s="94" t="s">
        <v>706</v>
      </c>
      <c r="I57" s="115"/>
      <c r="J57" s="112"/>
    </row>
    <row r="58" spans="1:11" ht="24" customHeight="1">
      <c r="A58" s="671"/>
      <c r="B58" s="452"/>
      <c r="C58" s="674"/>
      <c r="D58" s="650"/>
      <c r="E58" s="647"/>
      <c r="F58" s="452"/>
      <c r="G58" s="110" t="s">
        <v>19</v>
      </c>
      <c r="H58" s="100" t="s">
        <v>707</v>
      </c>
      <c r="I58" s="116"/>
      <c r="J58" s="112"/>
    </row>
    <row r="59" spans="1:11" ht="21">
      <c r="A59" s="287" t="s">
        <v>3</v>
      </c>
      <c r="B59" s="288"/>
      <c r="C59" s="288"/>
      <c r="D59" s="288"/>
      <c r="E59" s="288"/>
      <c r="F59" s="288"/>
      <c r="G59" s="288"/>
      <c r="H59" s="288"/>
      <c r="I59" s="289"/>
      <c r="J59" s="112"/>
      <c r="K59" s="112"/>
    </row>
    <row r="60" spans="1:11" ht="22.5" customHeight="1">
      <c r="A60" s="290"/>
      <c r="B60" s="291"/>
      <c r="C60" s="291"/>
      <c r="D60" s="291"/>
      <c r="E60" s="291"/>
      <c r="F60" s="291"/>
      <c r="G60" s="291"/>
      <c r="H60" s="291"/>
      <c r="I60" s="292"/>
    </row>
  </sheetData>
  <mergeCells count="82">
    <mergeCell ref="A1:I1"/>
    <mergeCell ref="A6:I6"/>
    <mergeCell ref="C8:D8"/>
    <mergeCell ref="G8:H8"/>
    <mergeCell ref="A9:A28"/>
    <mergeCell ref="C9:C13"/>
    <mergeCell ref="C15:C16"/>
    <mergeCell ref="C19:C21"/>
    <mergeCell ref="E9:E13"/>
    <mergeCell ref="E14:E17"/>
    <mergeCell ref="E19:E21"/>
    <mergeCell ref="G24:G25"/>
    <mergeCell ref="G27:G28"/>
    <mergeCell ref="H24:H25"/>
    <mergeCell ref="H27:H28"/>
    <mergeCell ref="I9:I13"/>
    <mergeCell ref="B9:B13"/>
    <mergeCell ref="B14:B17"/>
    <mergeCell ref="B18:B22"/>
    <mergeCell ref="B23:B25"/>
    <mergeCell ref="B26:B28"/>
    <mergeCell ref="C40:C44"/>
    <mergeCell ref="C45:C46"/>
    <mergeCell ref="C47:C48"/>
    <mergeCell ref="A31:A48"/>
    <mergeCell ref="A51:A58"/>
    <mergeCell ref="B31:B35"/>
    <mergeCell ref="B36:B39"/>
    <mergeCell ref="B40:B44"/>
    <mergeCell ref="B45:B46"/>
    <mergeCell ref="B47:B48"/>
    <mergeCell ref="B51:B52"/>
    <mergeCell ref="B54:B55"/>
    <mergeCell ref="B57:B58"/>
    <mergeCell ref="C51:C52"/>
    <mergeCell ref="C54:C55"/>
    <mergeCell ref="C57:C58"/>
    <mergeCell ref="D47:D48"/>
    <mergeCell ref="D51:D52"/>
    <mergeCell ref="D54:D55"/>
    <mergeCell ref="D9:D13"/>
    <mergeCell ref="D15:D16"/>
    <mergeCell ref="D19:D21"/>
    <mergeCell ref="D31:D35"/>
    <mergeCell ref="D36:D39"/>
    <mergeCell ref="D57:D58"/>
    <mergeCell ref="C31:C35"/>
    <mergeCell ref="C36:C39"/>
    <mergeCell ref="F57:F58"/>
    <mergeCell ref="E31:E35"/>
    <mergeCell ref="E36:E39"/>
    <mergeCell ref="E40:E44"/>
    <mergeCell ref="E45:E46"/>
    <mergeCell ref="E47:E48"/>
    <mergeCell ref="F40:F44"/>
    <mergeCell ref="F45:F46"/>
    <mergeCell ref="F47:F48"/>
    <mergeCell ref="F51:F52"/>
    <mergeCell ref="F54:F55"/>
    <mergeCell ref="D40:D44"/>
    <mergeCell ref="D45:D46"/>
    <mergeCell ref="F18:F22"/>
    <mergeCell ref="F23:F25"/>
    <mergeCell ref="F26:F28"/>
    <mergeCell ref="F31:F35"/>
    <mergeCell ref="F36:F39"/>
    <mergeCell ref="A59:I60"/>
    <mergeCell ref="I51:I52"/>
    <mergeCell ref="A2:I3"/>
    <mergeCell ref="A4:I5"/>
    <mergeCell ref="A29:I30"/>
    <mergeCell ref="A49:I50"/>
    <mergeCell ref="I14:I17"/>
    <mergeCell ref="I31:I35"/>
    <mergeCell ref="I36:I39"/>
    <mergeCell ref="I40:I44"/>
    <mergeCell ref="I45:I46"/>
    <mergeCell ref="E51:E52"/>
    <mergeCell ref="E54:E55"/>
    <mergeCell ref="E57:E58"/>
    <mergeCell ref="F9:F13"/>
    <mergeCell ref="F14:F17"/>
  </mergeCells>
  <pageMargins left="0.7" right="0.7" top="0.75" bottom="0.75" header="0.3" footer="0.3"/>
  <pageSetup paperSize="9" scale="37" fitToHeight="0" orientation="portrait" r:id="rId1"/>
  <customProperties>
    <customPr name="EpmWorksheetKeyString_GUID" r:id="rId2"/>
  </customProperties>
  <drawing r:id="rId3"/>
  <legacyDrawing r:id="rId4"/>
  <controls>
    <mc:AlternateContent xmlns:mc="http://schemas.openxmlformats.org/markup-compatibility/2006">
      <mc:Choice Requires="x14">
        <control shapeId="33793" r:id="rId5" name="OptionButton1">
          <controlPr defaultSize="0" altText="" r:id="rId6">
            <anchor moveWithCells="1">
              <from>
                <xdr:col>1</xdr:col>
                <xdr:colOff>412750</xdr:colOff>
                <xdr:row>10</xdr:row>
                <xdr:rowOff>0</xdr:rowOff>
              </from>
              <to>
                <xdr:col>1</xdr:col>
                <xdr:colOff>571500</xdr:colOff>
                <xdr:row>10</xdr:row>
                <xdr:rowOff>184150</xdr:rowOff>
              </to>
            </anchor>
          </controlPr>
        </control>
      </mc:Choice>
      <mc:Fallback>
        <control shapeId="33793" r:id="rId5" name="OptionButton1"/>
      </mc:Fallback>
    </mc:AlternateContent>
    <mc:AlternateContent xmlns:mc="http://schemas.openxmlformats.org/markup-compatibility/2006">
      <mc:Choice Requires="x14">
        <control shapeId="33794" r:id="rId7" name="OptionButton2">
          <controlPr defaultSize="0" altText="" r:id="rId8">
            <anchor moveWithCells="1">
              <from>
                <xdr:col>1</xdr:col>
                <xdr:colOff>419100</xdr:colOff>
                <xdr:row>14</xdr:row>
                <xdr:rowOff>76200</xdr:rowOff>
              </from>
              <to>
                <xdr:col>1</xdr:col>
                <xdr:colOff>577850</xdr:colOff>
                <xdr:row>14</xdr:row>
                <xdr:rowOff>260350</xdr:rowOff>
              </to>
            </anchor>
          </controlPr>
        </control>
      </mc:Choice>
      <mc:Fallback>
        <control shapeId="33794" r:id="rId7" name="OptionButton2"/>
      </mc:Fallback>
    </mc:AlternateContent>
    <mc:AlternateContent xmlns:mc="http://schemas.openxmlformats.org/markup-compatibility/2006">
      <mc:Choice Requires="x14">
        <control shapeId="33795" r:id="rId9" name="OptionButton3">
          <controlPr defaultSize="0" altText="" r:id="rId10">
            <anchor moveWithCells="1">
              <from>
                <xdr:col>1</xdr:col>
                <xdr:colOff>457200</xdr:colOff>
                <xdr:row>18</xdr:row>
                <xdr:rowOff>260350</xdr:rowOff>
              </from>
              <to>
                <xdr:col>1</xdr:col>
                <xdr:colOff>622300</xdr:colOff>
                <xdr:row>19</xdr:row>
                <xdr:rowOff>63500</xdr:rowOff>
              </to>
            </anchor>
          </controlPr>
        </control>
      </mc:Choice>
      <mc:Fallback>
        <control shapeId="33795" r:id="rId9" name="OptionButton3"/>
      </mc:Fallback>
    </mc:AlternateContent>
    <mc:AlternateContent xmlns:mc="http://schemas.openxmlformats.org/markup-compatibility/2006">
      <mc:Choice Requires="x14">
        <control shapeId="33796" r:id="rId11" name="OptionButton4">
          <controlPr defaultSize="0" altText="" r:id="rId10">
            <anchor moveWithCells="1">
              <from>
                <xdr:col>1</xdr:col>
                <xdr:colOff>412750</xdr:colOff>
                <xdr:row>23</xdr:row>
                <xdr:rowOff>0</xdr:rowOff>
              </from>
              <to>
                <xdr:col>1</xdr:col>
                <xdr:colOff>577850</xdr:colOff>
                <xdr:row>23</xdr:row>
                <xdr:rowOff>184150</xdr:rowOff>
              </to>
            </anchor>
          </controlPr>
        </control>
      </mc:Choice>
      <mc:Fallback>
        <control shapeId="33796" r:id="rId11" name="OptionButton4"/>
      </mc:Fallback>
    </mc:AlternateContent>
    <mc:AlternateContent xmlns:mc="http://schemas.openxmlformats.org/markup-compatibility/2006">
      <mc:Choice Requires="x14">
        <control shapeId="33797" r:id="rId12" name="OptionButton5">
          <controlPr defaultSize="0" altText="" r:id="rId10">
            <anchor moveWithCells="1">
              <from>
                <xdr:col>1</xdr:col>
                <xdr:colOff>419100</xdr:colOff>
                <xdr:row>26</xdr:row>
                <xdr:rowOff>0</xdr:rowOff>
              </from>
              <to>
                <xdr:col>1</xdr:col>
                <xdr:colOff>584200</xdr:colOff>
                <xdr:row>26</xdr:row>
                <xdr:rowOff>184150</xdr:rowOff>
              </to>
            </anchor>
          </controlPr>
        </control>
      </mc:Choice>
      <mc:Fallback>
        <control shapeId="33797" r:id="rId12" name="OptionButton5"/>
      </mc:Fallback>
    </mc:AlternateContent>
    <mc:AlternateContent xmlns:mc="http://schemas.openxmlformats.org/markup-compatibility/2006">
      <mc:Choice Requires="x14">
        <control shapeId="33798" r:id="rId13" name="OptionButton6">
          <controlPr defaultSize="0" altText="" r:id="rId8">
            <anchor moveWithCells="1">
              <from>
                <xdr:col>1</xdr:col>
                <xdr:colOff>412750</xdr:colOff>
                <xdr:row>31</xdr:row>
                <xdr:rowOff>152400</xdr:rowOff>
              </from>
              <to>
                <xdr:col>1</xdr:col>
                <xdr:colOff>571500</xdr:colOff>
                <xdr:row>32</xdr:row>
                <xdr:rowOff>69850</xdr:rowOff>
              </to>
            </anchor>
          </controlPr>
        </control>
      </mc:Choice>
      <mc:Fallback>
        <control shapeId="33798" r:id="rId13" name="OptionButton6"/>
      </mc:Fallback>
    </mc:AlternateContent>
    <mc:AlternateContent xmlns:mc="http://schemas.openxmlformats.org/markup-compatibility/2006">
      <mc:Choice Requires="x14">
        <control shapeId="33799" r:id="rId14" name="OptionButton7">
          <controlPr defaultSize="0" altText="" r:id="rId6">
            <anchor moveWithCells="1">
              <from>
                <xdr:col>1</xdr:col>
                <xdr:colOff>400050</xdr:colOff>
                <xdr:row>36</xdr:row>
                <xdr:rowOff>57150</xdr:rowOff>
              </from>
              <to>
                <xdr:col>1</xdr:col>
                <xdr:colOff>558800</xdr:colOff>
                <xdr:row>36</xdr:row>
                <xdr:rowOff>241300</xdr:rowOff>
              </to>
            </anchor>
          </controlPr>
        </control>
      </mc:Choice>
      <mc:Fallback>
        <control shapeId="33799" r:id="rId14" name="OptionButton7"/>
      </mc:Fallback>
    </mc:AlternateContent>
    <mc:AlternateContent xmlns:mc="http://schemas.openxmlformats.org/markup-compatibility/2006">
      <mc:Choice Requires="x14">
        <control shapeId="33800" r:id="rId15" name="OptionButton8">
          <controlPr defaultSize="0" altText="" r:id="rId10">
            <anchor moveWithCells="1">
              <from>
                <xdr:col>1</xdr:col>
                <xdr:colOff>381000</xdr:colOff>
                <xdr:row>40</xdr:row>
                <xdr:rowOff>266700</xdr:rowOff>
              </from>
              <to>
                <xdr:col>1</xdr:col>
                <xdr:colOff>546100</xdr:colOff>
                <xdr:row>41</xdr:row>
                <xdr:rowOff>120650</xdr:rowOff>
              </to>
            </anchor>
          </controlPr>
        </control>
      </mc:Choice>
      <mc:Fallback>
        <control shapeId="33800" r:id="rId15" name="OptionButton8"/>
      </mc:Fallback>
    </mc:AlternateContent>
    <mc:AlternateContent xmlns:mc="http://schemas.openxmlformats.org/markup-compatibility/2006">
      <mc:Choice Requires="x14">
        <control shapeId="33801" r:id="rId16" name="OptionButton9">
          <controlPr defaultSize="0" altText="" r:id="rId10">
            <anchor moveWithCells="1">
              <from>
                <xdr:col>1</xdr:col>
                <xdr:colOff>412750</xdr:colOff>
                <xdr:row>44</xdr:row>
                <xdr:rowOff>495300</xdr:rowOff>
              </from>
              <to>
                <xdr:col>1</xdr:col>
                <xdr:colOff>577850</xdr:colOff>
                <xdr:row>44</xdr:row>
                <xdr:rowOff>679450</xdr:rowOff>
              </to>
            </anchor>
          </controlPr>
        </control>
      </mc:Choice>
      <mc:Fallback>
        <control shapeId="33801" r:id="rId16" name="OptionButton9"/>
      </mc:Fallback>
    </mc:AlternateContent>
    <mc:AlternateContent xmlns:mc="http://schemas.openxmlformats.org/markup-compatibility/2006">
      <mc:Choice Requires="x14">
        <control shapeId="33802" r:id="rId17" name="OptionButton10">
          <controlPr defaultSize="0" altText="" r:id="rId10">
            <anchor moveWithCells="1">
              <from>
                <xdr:col>1</xdr:col>
                <xdr:colOff>361950</xdr:colOff>
                <xdr:row>46</xdr:row>
                <xdr:rowOff>114300</xdr:rowOff>
              </from>
              <to>
                <xdr:col>1</xdr:col>
                <xdr:colOff>527050</xdr:colOff>
                <xdr:row>46</xdr:row>
                <xdr:rowOff>298450</xdr:rowOff>
              </to>
            </anchor>
          </controlPr>
        </control>
      </mc:Choice>
      <mc:Fallback>
        <control shapeId="33802" r:id="rId17" name="OptionButton10"/>
      </mc:Fallback>
    </mc:AlternateContent>
    <mc:AlternateContent xmlns:mc="http://schemas.openxmlformats.org/markup-compatibility/2006">
      <mc:Choice Requires="x14">
        <control shapeId="33804" r:id="rId18" name="OptionButton11">
          <controlPr defaultSize="0" altText="" r:id="rId6">
            <anchor moveWithCells="1">
              <from>
                <xdr:col>1</xdr:col>
                <xdr:colOff>400050</xdr:colOff>
                <xdr:row>50</xdr:row>
                <xdr:rowOff>247650</xdr:rowOff>
              </from>
              <to>
                <xdr:col>1</xdr:col>
                <xdr:colOff>558800</xdr:colOff>
                <xdr:row>50</xdr:row>
                <xdr:rowOff>431800</xdr:rowOff>
              </to>
            </anchor>
          </controlPr>
        </control>
      </mc:Choice>
      <mc:Fallback>
        <control shapeId="33804" r:id="rId18" name="OptionButton11"/>
      </mc:Fallback>
    </mc:AlternateContent>
    <mc:AlternateContent xmlns:mc="http://schemas.openxmlformats.org/markup-compatibility/2006">
      <mc:Choice Requires="x14">
        <control shapeId="33805" r:id="rId19" name="OptionButton12">
          <controlPr defaultSize="0" altText="" r:id="rId8">
            <anchor moveWithCells="1">
              <from>
                <xdr:col>1</xdr:col>
                <xdr:colOff>400050</xdr:colOff>
                <xdr:row>52</xdr:row>
                <xdr:rowOff>152400</xdr:rowOff>
              </from>
              <to>
                <xdr:col>1</xdr:col>
                <xdr:colOff>558800</xdr:colOff>
                <xdr:row>52</xdr:row>
                <xdr:rowOff>336550</xdr:rowOff>
              </to>
            </anchor>
          </controlPr>
        </control>
      </mc:Choice>
      <mc:Fallback>
        <control shapeId="33805" r:id="rId19" name="OptionButton12"/>
      </mc:Fallback>
    </mc:AlternateContent>
    <mc:AlternateContent xmlns:mc="http://schemas.openxmlformats.org/markup-compatibility/2006">
      <mc:Choice Requires="x14">
        <control shapeId="33806" r:id="rId20" name="OptionButton13">
          <controlPr defaultSize="0" altText="" r:id="rId10">
            <anchor moveWithCells="1">
              <from>
                <xdr:col>1</xdr:col>
                <xdr:colOff>400050</xdr:colOff>
                <xdr:row>53</xdr:row>
                <xdr:rowOff>152400</xdr:rowOff>
              </from>
              <to>
                <xdr:col>1</xdr:col>
                <xdr:colOff>565150</xdr:colOff>
                <xdr:row>54</xdr:row>
                <xdr:rowOff>6350</xdr:rowOff>
              </to>
            </anchor>
          </controlPr>
        </control>
      </mc:Choice>
      <mc:Fallback>
        <control shapeId="33806" r:id="rId20" name="OptionButton13"/>
      </mc:Fallback>
    </mc:AlternateContent>
    <mc:AlternateContent xmlns:mc="http://schemas.openxmlformats.org/markup-compatibility/2006">
      <mc:Choice Requires="x14">
        <control shapeId="33807" r:id="rId21" name="OptionButton14">
          <controlPr defaultSize="0" altText="" r:id="rId10">
            <anchor moveWithCells="1">
              <from>
                <xdr:col>1</xdr:col>
                <xdr:colOff>400050</xdr:colOff>
                <xdr:row>55</xdr:row>
                <xdr:rowOff>57150</xdr:rowOff>
              </from>
              <to>
                <xdr:col>1</xdr:col>
                <xdr:colOff>565150</xdr:colOff>
                <xdr:row>55</xdr:row>
                <xdr:rowOff>241300</xdr:rowOff>
              </to>
            </anchor>
          </controlPr>
        </control>
      </mc:Choice>
      <mc:Fallback>
        <control shapeId="33807" r:id="rId21" name="OptionButton14"/>
      </mc:Fallback>
    </mc:AlternateContent>
    <mc:AlternateContent xmlns:mc="http://schemas.openxmlformats.org/markup-compatibility/2006">
      <mc:Choice Requires="x14">
        <control shapeId="33808" r:id="rId22" name="OptionButton15">
          <controlPr defaultSize="0" altText="" r:id="rId10">
            <anchor moveWithCells="1">
              <from>
                <xdr:col>1</xdr:col>
                <xdr:colOff>400050</xdr:colOff>
                <xdr:row>56</xdr:row>
                <xdr:rowOff>203200</xdr:rowOff>
              </from>
              <to>
                <xdr:col>1</xdr:col>
                <xdr:colOff>565150</xdr:colOff>
                <xdr:row>57</xdr:row>
                <xdr:rowOff>57150</xdr:rowOff>
              </to>
            </anchor>
          </controlPr>
        </control>
      </mc:Choice>
      <mc:Fallback>
        <control shapeId="33808" r:id="rId22" name="OptionButton15"/>
      </mc:Fallback>
    </mc:AlternateContent>
    <mc:AlternateContent xmlns:mc="http://schemas.openxmlformats.org/markup-compatibility/2006">
      <mc:Choice Requires="x14">
        <control shapeId="33809" r:id="rId23" name="OptionButton16">
          <controlPr defaultSize="0" altText="" r:id="rId10">
            <anchor moveWithCells="1">
              <from>
                <xdr:col>5</xdr:col>
                <xdr:colOff>400050</xdr:colOff>
                <xdr:row>10</xdr:row>
                <xdr:rowOff>0</xdr:rowOff>
              </from>
              <to>
                <xdr:col>5</xdr:col>
                <xdr:colOff>565150</xdr:colOff>
                <xdr:row>10</xdr:row>
                <xdr:rowOff>184150</xdr:rowOff>
              </to>
            </anchor>
          </controlPr>
        </control>
      </mc:Choice>
      <mc:Fallback>
        <control shapeId="33809" r:id="rId23" name="OptionButton16"/>
      </mc:Fallback>
    </mc:AlternateContent>
    <mc:AlternateContent xmlns:mc="http://schemas.openxmlformats.org/markup-compatibility/2006">
      <mc:Choice Requires="x14">
        <control shapeId="33810" r:id="rId24" name="OptionButton17">
          <controlPr defaultSize="0" altText="" r:id="rId10">
            <anchor moveWithCells="1">
              <from>
                <xdr:col>5</xdr:col>
                <xdr:colOff>419100</xdr:colOff>
                <xdr:row>14</xdr:row>
                <xdr:rowOff>69850</xdr:rowOff>
              </from>
              <to>
                <xdr:col>5</xdr:col>
                <xdr:colOff>584200</xdr:colOff>
                <xdr:row>14</xdr:row>
                <xdr:rowOff>254000</xdr:rowOff>
              </to>
            </anchor>
          </controlPr>
        </control>
      </mc:Choice>
      <mc:Fallback>
        <control shapeId="33810" r:id="rId24" name="OptionButton17"/>
      </mc:Fallback>
    </mc:AlternateContent>
    <mc:AlternateContent xmlns:mc="http://schemas.openxmlformats.org/markup-compatibility/2006">
      <mc:Choice Requires="x14">
        <control shapeId="33811" r:id="rId25" name="OptionButton18">
          <controlPr defaultSize="0" altText="" r:id="rId10">
            <anchor moveWithCells="1">
              <from>
                <xdr:col>5</xdr:col>
                <xdr:colOff>412750</xdr:colOff>
                <xdr:row>18</xdr:row>
                <xdr:rowOff>266700</xdr:rowOff>
              </from>
              <to>
                <xdr:col>5</xdr:col>
                <xdr:colOff>577850</xdr:colOff>
                <xdr:row>19</xdr:row>
                <xdr:rowOff>69850</xdr:rowOff>
              </to>
            </anchor>
          </controlPr>
        </control>
      </mc:Choice>
      <mc:Fallback>
        <control shapeId="33811" r:id="rId25" name="OptionButton18"/>
      </mc:Fallback>
    </mc:AlternateContent>
    <mc:AlternateContent xmlns:mc="http://schemas.openxmlformats.org/markup-compatibility/2006">
      <mc:Choice Requires="x14">
        <control shapeId="33812" r:id="rId26" name="OptionButton19">
          <controlPr defaultSize="0" altText="" r:id="rId8">
            <anchor moveWithCells="1">
              <from>
                <xdr:col>5</xdr:col>
                <xdr:colOff>412750</xdr:colOff>
                <xdr:row>23</xdr:row>
                <xdr:rowOff>0</xdr:rowOff>
              </from>
              <to>
                <xdr:col>5</xdr:col>
                <xdr:colOff>571500</xdr:colOff>
                <xdr:row>23</xdr:row>
                <xdr:rowOff>184150</xdr:rowOff>
              </to>
            </anchor>
          </controlPr>
        </control>
      </mc:Choice>
      <mc:Fallback>
        <control shapeId="33812" r:id="rId26" name="OptionButton19"/>
      </mc:Fallback>
    </mc:AlternateContent>
    <mc:AlternateContent xmlns:mc="http://schemas.openxmlformats.org/markup-compatibility/2006">
      <mc:Choice Requires="x14">
        <control shapeId="33813" r:id="rId27" name="OptionButton20">
          <controlPr defaultSize="0" altText="" r:id="rId6">
            <anchor moveWithCells="1">
              <from>
                <xdr:col>5</xdr:col>
                <xdr:colOff>431800</xdr:colOff>
                <xdr:row>25</xdr:row>
                <xdr:rowOff>317500</xdr:rowOff>
              </from>
              <to>
                <xdr:col>5</xdr:col>
                <xdr:colOff>590550</xdr:colOff>
                <xdr:row>26</xdr:row>
                <xdr:rowOff>171450</xdr:rowOff>
              </to>
            </anchor>
          </controlPr>
        </control>
      </mc:Choice>
      <mc:Fallback>
        <control shapeId="33813" r:id="rId27" name="OptionButton20"/>
      </mc:Fallback>
    </mc:AlternateContent>
    <mc:AlternateContent xmlns:mc="http://schemas.openxmlformats.org/markup-compatibility/2006">
      <mc:Choice Requires="x14">
        <control shapeId="33814" r:id="rId28" name="OptionButton21">
          <controlPr defaultSize="0" altText="" r:id="rId10">
            <anchor moveWithCells="1">
              <from>
                <xdr:col>5</xdr:col>
                <xdr:colOff>412750</xdr:colOff>
                <xdr:row>31</xdr:row>
                <xdr:rowOff>165100</xdr:rowOff>
              </from>
              <to>
                <xdr:col>5</xdr:col>
                <xdr:colOff>577850</xdr:colOff>
                <xdr:row>32</xdr:row>
                <xdr:rowOff>82550</xdr:rowOff>
              </to>
            </anchor>
          </controlPr>
        </control>
      </mc:Choice>
      <mc:Fallback>
        <control shapeId="33814" r:id="rId28" name="OptionButton21"/>
      </mc:Fallback>
    </mc:AlternateContent>
    <mc:AlternateContent xmlns:mc="http://schemas.openxmlformats.org/markup-compatibility/2006">
      <mc:Choice Requires="x14">
        <control shapeId="33815" r:id="rId29" name="OptionButton22">
          <controlPr defaultSize="0" altText="" r:id="rId10">
            <anchor moveWithCells="1">
              <from>
                <xdr:col>5</xdr:col>
                <xdr:colOff>431800</xdr:colOff>
                <xdr:row>36</xdr:row>
                <xdr:rowOff>76200</xdr:rowOff>
              </from>
              <to>
                <xdr:col>5</xdr:col>
                <xdr:colOff>596900</xdr:colOff>
                <xdr:row>36</xdr:row>
                <xdr:rowOff>260350</xdr:rowOff>
              </to>
            </anchor>
          </controlPr>
        </control>
      </mc:Choice>
      <mc:Fallback>
        <control shapeId="33815" r:id="rId29" name="OptionButton22"/>
      </mc:Fallback>
    </mc:AlternateContent>
    <mc:AlternateContent xmlns:mc="http://schemas.openxmlformats.org/markup-compatibility/2006">
      <mc:Choice Requires="x14">
        <control shapeId="33816" r:id="rId30" name="OptionButton23">
          <controlPr defaultSize="0" altText="" r:id="rId6">
            <anchor moveWithCells="1">
              <from>
                <xdr:col>5</xdr:col>
                <xdr:colOff>412750</xdr:colOff>
                <xdr:row>40</xdr:row>
                <xdr:rowOff>298450</xdr:rowOff>
              </from>
              <to>
                <xdr:col>5</xdr:col>
                <xdr:colOff>571500</xdr:colOff>
                <xdr:row>41</xdr:row>
                <xdr:rowOff>152400</xdr:rowOff>
              </to>
            </anchor>
          </controlPr>
        </control>
      </mc:Choice>
      <mc:Fallback>
        <control shapeId="33816" r:id="rId30" name="OptionButton23"/>
      </mc:Fallback>
    </mc:AlternateContent>
    <mc:AlternateContent xmlns:mc="http://schemas.openxmlformats.org/markup-compatibility/2006">
      <mc:Choice Requires="x14">
        <control shapeId="33817" r:id="rId31" name="OptionButton24">
          <controlPr defaultSize="0" altText="" r:id="rId8">
            <anchor moveWithCells="1">
              <from>
                <xdr:col>5</xdr:col>
                <xdr:colOff>419100</xdr:colOff>
                <xdr:row>44</xdr:row>
                <xdr:rowOff>488950</xdr:rowOff>
              </from>
              <to>
                <xdr:col>5</xdr:col>
                <xdr:colOff>577850</xdr:colOff>
                <xdr:row>44</xdr:row>
                <xdr:rowOff>673100</xdr:rowOff>
              </to>
            </anchor>
          </controlPr>
        </control>
      </mc:Choice>
      <mc:Fallback>
        <control shapeId="33817" r:id="rId31" name="OptionButton24"/>
      </mc:Fallback>
    </mc:AlternateContent>
    <mc:AlternateContent xmlns:mc="http://schemas.openxmlformats.org/markup-compatibility/2006">
      <mc:Choice Requires="x14">
        <control shapeId="33818" r:id="rId32" name="OptionButton25">
          <controlPr defaultSize="0" altText="" r:id="rId10">
            <anchor moveWithCells="1">
              <from>
                <xdr:col>5</xdr:col>
                <xdr:colOff>412750</xdr:colOff>
                <xdr:row>46</xdr:row>
                <xdr:rowOff>146050</xdr:rowOff>
              </from>
              <to>
                <xdr:col>5</xdr:col>
                <xdr:colOff>577850</xdr:colOff>
                <xdr:row>47</xdr:row>
                <xdr:rowOff>0</xdr:rowOff>
              </to>
            </anchor>
          </controlPr>
        </control>
      </mc:Choice>
      <mc:Fallback>
        <control shapeId="33818" r:id="rId32" name="OptionButton25"/>
      </mc:Fallback>
    </mc:AlternateContent>
    <mc:AlternateContent xmlns:mc="http://schemas.openxmlformats.org/markup-compatibility/2006">
      <mc:Choice Requires="x14">
        <control shapeId="33819" r:id="rId33" name="OptionButton26">
          <controlPr defaultSize="0" altText="" r:id="rId6">
            <anchor moveWithCells="1">
              <from>
                <xdr:col>5</xdr:col>
                <xdr:colOff>412750</xdr:colOff>
                <xdr:row>50</xdr:row>
                <xdr:rowOff>260350</xdr:rowOff>
              </from>
              <to>
                <xdr:col>5</xdr:col>
                <xdr:colOff>571500</xdr:colOff>
                <xdr:row>50</xdr:row>
                <xdr:rowOff>444500</xdr:rowOff>
              </to>
            </anchor>
          </controlPr>
        </control>
      </mc:Choice>
      <mc:Fallback>
        <control shapeId="33819" r:id="rId33" name="OptionButton26"/>
      </mc:Fallback>
    </mc:AlternateContent>
    <mc:AlternateContent xmlns:mc="http://schemas.openxmlformats.org/markup-compatibility/2006">
      <mc:Choice Requires="x14">
        <control shapeId="33821" r:id="rId34" name="OptionButton28">
          <controlPr defaultSize="0" altText="" r:id="rId10">
            <anchor moveWithCells="1">
              <from>
                <xdr:col>5</xdr:col>
                <xdr:colOff>412750</xdr:colOff>
                <xdr:row>53</xdr:row>
                <xdr:rowOff>171450</xdr:rowOff>
              </from>
              <to>
                <xdr:col>5</xdr:col>
                <xdr:colOff>577850</xdr:colOff>
                <xdr:row>54</xdr:row>
                <xdr:rowOff>25400</xdr:rowOff>
              </to>
            </anchor>
          </controlPr>
        </control>
      </mc:Choice>
      <mc:Fallback>
        <control shapeId="33821" r:id="rId34" name="OptionButton28"/>
      </mc:Fallback>
    </mc:AlternateContent>
    <mc:AlternateContent xmlns:mc="http://schemas.openxmlformats.org/markup-compatibility/2006">
      <mc:Choice Requires="x14">
        <control shapeId="33823" r:id="rId35" name="OptionButton30">
          <controlPr defaultSize="0" altText="" r:id="rId8">
            <anchor moveWithCells="1">
              <from>
                <xdr:col>5</xdr:col>
                <xdr:colOff>412750</xdr:colOff>
                <xdr:row>56</xdr:row>
                <xdr:rowOff>133350</xdr:rowOff>
              </from>
              <to>
                <xdr:col>5</xdr:col>
                <xdr:colOff>571500</xdr:colOff>
                <xdr:row>56</xdr:row>
                <xdr:rowOff>317500</xdr:rowOff>
              </to>
            </anchor>
          </controlPr>
        </control>
      </mc:Choice>
      <mc:Fallback>
        <control shapeId="33823" r:id="rId35" name="OptionButton30"/>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109"/>
  <sheetViews>
    <sheetView zoomScale="40" zoomScaleNormal="40" workbookViewId="0">
      <selection sqref="A1:I1"/>
    </sheetView>
  </sheetViews>
  <sheetFormatPr defaultColWidth="8.81640625" defaultRowHeight="14.5"/>
  <cols>
    <col min="1" max="1" width="32.26953125" style="38" customWidth="1"/>
    <col min="2" max="2" width="12.81640625" customWidth="1"/>
    <col min="3" max="3" width="4.453125" style="40" customWidth="1"/>
    <col min="4" max="4" width="60" style="41" customWidth="1"/>
    <col min="5" max="5" width="13.1796875" customWidth="1"/>
    <col min="6" max="6" width="12.81640625" customWidth="1"/>
    <col min="7" max="7" width="2.7265625" customWidth="1"/>
    <col min="8" max="8" width="75.26953125" style="42" customWidth="1"/>
    <col min="9" max="9" width="15" style="38" customWidth="1"/>
    <col min="10" max="10" width="78.453125" style="43" customWidth="1"/>
  </cols>
  <sheetData>
    <row r="1" spans="1:11" ht="22.5">
      <c r="A1" s="751" t="s">
        <v>876</v>
      </c>
      <c r="B1" s="752"/>
      <c r="C1" s="752"/>
      <c r="D1" s="752"/>
      <c r="E1" s="752"/>
      <c r="F1" s="752"/>
      <c r="G1" s="752"/>
      <c r="H1" s="752"/>
      <c r="I1" s="753"/>
    </row>
    <row r="2" spans="1:11">
      <c r="A2" s="691" t="s">
        <v>2</v>
      </c>
      <c r="B2" s="692"/>
      <c r="C2" s="692"/>
      <c r="D2" s="692"/>
      <c r="E2" s="692"/>
      <c r="F2" s="692"/>
      <c r="G2" s="692"/>
      <c r="H2" s="692"/>
      <c r="I2" s="693"/>
    </row>
    <row r="3" spans="1:11">
      <c r="A3" s="694"/>
      <c r="B3" s="695"/>
      <c r="C3" s="695"/>
      <c r="D3" s="695"/>
      <c r="E3" s="695"/>
      <c r="F3" s="695"/>
      <c r="G3" s="695"/>
      <c r="H3" s="695"/>
      <c r="I3" s="696"/>
    </row>
    <row r="4" spans="1:11" ht="96.75" customHeight="1">
      <c r="A4" s="287" t="s">
        <v>867</v>
      </c>
      <c r="B4" s="697"/>
      <c r="C4" s="697"/>
      <c r="D4" s="697"/>
      <c r="E4" s="697"/>
      <c r="F4" s="697"/>
      <c r="G4" s="697"/>
      <c r="H4" s="697"/>
      <c r="I4" s="698"/>
    </row>
    <row r="5" spans="1:11" ht="60" customHeight="1">
      <c r="A5" s="699"/>
      <c r="B5" s="700"/>
      <c r="C5" s="700"/>
      <c r="D5" s="700"/>
      <c r="E5" s="700"/>
      <c r="F5" s="700"/>
      <c r="G5" s="700"/>
      <c r="H5" s="700"/>
      <c r="I5" s="701"/>
      <c r="K5" s="63"/>
    </row>
    <row r="6" spans="1:11">
      <c r="A6" s="754" t="s">
        <v>4</v>
      </c>
      <c r="B6" s="755"/>
      <c r="C6" s="755"/>
      <c r="D6" s="755"/>
      <c r="E6" s="755"/>
      <c r="F6" s="755"/>
      <c r="G6" s="756"/>
      <c r="H6" s="756"/>
      <c r="I6" s="757"/>
      <c r="J6" s="64"/>
    </row>
    <row r="7" spans="1:11">
      <c r="A7" s="44" t="s">
        <v>306</v>
      </c>
      <c r="B7" s="45" t="s">
        <v>7</v>
      </c>
      <c r="C7" s="46"/>
      <c r="D7" s="33" t="s">
        <v>8</v>
      </c>
      <c r="E7" s="47" t="s">
        <v>708</v>
      </c>
      <c r="F7" s="47" t="s">
        <v>7</v>
      </c>
      <c r="G7" s="758" t="s">
        <v>9</v>
      </c>
      <c r="H7" s="758"/>
      <c r="I7" s="65" t="s">
        <v>708</v>
      </c>
      <c r="J7" s="64"/>
    </row>
    <row r="8" spans="1:11">
      <c r="A8" s="759" t="s">
        <v>709</v>
      </c>
      <c r="B8" s="533" t="s">
        <v>11</v>
      </c>
      <c r="C8" s="48"/>
      <c r="D8" s="748" t="s">
        <v>710</v>
      </c>
      <c r="E8" s="736"/>
      <c r="F8" s="533" t="s">
        <v>11</v>
      </c>
      <c r="G8" s="723"/>
      <c r="H8" s="717" t="s">
        <v>711</v>
      </c>
      <c r="I8" s="707"/>
      <c r="J8" s="66"/>
    </row>
    <row r="9" spans="1:11">
      <c r="A9" s="760"/>
      <c r="B9" s="534"/>
      <c r="C9" s="50"/>
      <c r="D9" s="729"/>
      <c r="E9" s="737"/>
      <c r="F9" s="534"/>
      <c r="G9" s="724"/>
      <c r="H9" s="718"/>
      <c r="I9" s="708"/>
      <c r="J9" s="66"/>
    </row>
    <row r="10" spans="1:11">
      <c r="A10" s="760"/>
      <c r="B10" s="534"/>
      <c r="C10" s="50"/>
      <c r="D10" s="729"/>
      <c r="E10" s="737"/>
      <c r="F10" s="534"/>
      <c r="G10" s="724"/>
      <c r="H10" s="718"/>
      <c r="I10" s="708"/>
      <c r="J10" s="66"/>
    </row>
    <row r="11" spans="1:11">
      <c r="A11" s="760"/>
      <c r="B11" s="534"/>
      <c r="C11" s="50"/>
      <c r="D11" s="729"/>
      <c r="E11" s="737"/>
      <c r="F11" s="534"/>
      <c r="G11" s="724"/>
      <c r="H11" s="718"/>
      <c r="I11" s="708"/>
      <c r="J11" s="66"/>
    </row>
    <row r="12" spans="1:11">
      <c r="A12" s="760"/>
      <c r="B12" s="535"/>
      <c r="C12" s="51"/>
      <c r="D12" s="730"/>
      <c r="E12" s="738"/>
      <c r="F12" s="535"/>
      <c r="G12" s="725"/>
      <c r="H12" s="719"/>
      <c r="I12" s="709"/>
      <c r="J12" s="66"/>
    </row>
    <row r="13" spans="1:11" ht="15" customHeight="1">
      <c r="A13" s="760"/>
      <c r="B13" s="494" t="s">
        <v>14</v>
      </c>
      <c r="C13" s="53"/>
      <c r="D13" s="705" t="s">
        <v>712</v>
      </c>
      <c r="E13" s="739"/>
      <c r="F13" s="494" t="s">
        <v>14</v>
      </c>
      <c r="G13" s="723"/>
      <c r="H13" s="717" t="s">
        <v>713</v>
      </c>
      <c r="I13" s="710"/>
      <c r="J13" s="66"/>
    </row>
    <row r="14" spans="1:11">
      <c r="A14" s="760"/>
      <c r="B14" s="495"/>
      <c r="C14" s="50"/>
      <c r="D14" s="729"/>
      <c r="E14" s="715"/>
      <c r="F14" s="495"/>
      <c r="G14" s="724"/>
      <c r="H14" s="718"/>
      <c r="I14" s="711"/>
      <c r="J14" s="66"/>
    </row>
    <row r="15" spans="1:11">
      <c r="A15" s="760"/>
      <c r="B15" s="495"/>
      <c r="C15" s="749"/>
      <c r="D15" s="729"/>
      <c r="E15" s="715"/>
      <c r="F15" s="495"/>
      <c r="G15" s="724"/>
      <c r="H15" s="718"/>
      <c r="I15" s="711"/>
      <c r="J15" s="67"/>
    </row>
    <row r="16" spans="1:11">
      <c r="A16" s="760"/>
      <c r="B16" s="495"/>
      <c r="C16" s="749"/>
      <c r="D16" s="729"/>
      <c r="E16" s="715"/>
      <c r="F16" s="495"/>
      <c r="G16" s="724"/>
      <c r="H16" s="718"/>
      <c r="I16" s="711"/>
      <c r="J16" s="66"/>
    </row>
    <row r="17" spans="1:11">
      <c r="A17" s="760"/>
      <c r="B17" s="496"/>
      <c r="C17" s="750"/>
      <c r="D17" s="730"/>
      <c r="E17" s="716"/>
      <c r="F17" s="496"/>
      <c r="G17" s="725"/>
      <c r="H17" s="719"/>
      <c r="I17" s="712"/>
      <c r="J17" s="66"/>
    </row>
    <row r="18" spans="1:11">
      <c r="A18" s="760"/>
      <c r="B18" s="536" t="s">
        <v>17</v>
      </c>
      <c r="C18" s="53"/>
      <c r="D18" s="705" t="s">
        <v>714</v>
      </c>
      <c r="E18" s="714"/>
      <c r="F18" s="536" t="s">
        <v>17</v>
      </c>
      <c r="G18" s="723"/>
      <c r="H18" s="717" t="s">
        <v>715</v>
      </c>
      <c r="I18" s="687"/>
      <c r="J18" s="66"/>
    </row>
    <row r="19" spans="1:11">
      <c r="A19" s="760"/>
      <c r="B19" s="537"/>
      <c r="C19" s="50"/>
      <c r="D19" s="729"/>
      <c r="E19" s="715"/>
      <c r="F19" s="537"/>
      <c r="G19" s="724"/>
      <c r="H19" s="718"/>
      <c r="I19" s="688"/>
      <c r="J19" s="66"/>
    </row>
    <row r="20" spans="1:11">
      <c r="A20" s="760"/>
      <c r="B20" s="537"/>
      <c r="C20" s="50"/>
      <c r="D20" s="729"/>
      <c r="E20" s="715"/>
      <c r="F20" s="537"/>
      <c r="G20" s="724"/>
      <c r="H20" s="718"/>
      <c r="I20" s="688"/>
      <c r="J20" s="66"/>
    </row>
    <row r="21" spans="1:11">
      <c r="A21" s="760"/>
      <c r="B21" s="537"/>
      <c r="C21" s="50"/>
      <c r="D21" s="729"/>
      <c r="E21" s="715"/>
      <c r="F21" s="537"/>
      <c r="G21" s="724"/>
      <c r="H21" s="718"/>
      <c r="I21" s="688"/>
      <c r="J21" s="69"/>
    </row>
    <row r="22" spans="1:11">
      <c r="A22" s="760"/>
      <c r="B22" s="538"/>
      <c r="C22" s="51"/>
      <c r="D22" s="730"/>
      <c r="E22" s="716"/>
      <c r="F22" s="538"/>
      <c r="G22" s="725"/>
      <c r="H22" s="719"/>
      <c r="I22" s="689"/>
    </row>
    <row r="23" spans="1:11" ht="15" customHeight="1">
      <c r="A23" s="760"/>
      <c r="B23" s="539" t="s">
        <v>22</v>
      </c>
      <c r="C23" s="53"/>
      <c r="D23" s="705" t="s">
        <v>716</v>
      </c>
      <c r="E23" s="714"/>
      <c r="F23" s="539" t="s">
        <v>22</v>
      </c>
      <c r="G23" s="723"/>
      <c r="H23" s="717" t="s">
        <v>717</v>
      </c>
      <c r="I23" s="687"/>
      <c r="J23" s="64"/>
    </row>
    <row r="24" spans="1:11">
      <c r="A24" s="760"/>
      <c r="B24" s="728"/>
      <c r="C24" s="749"/>
      <c r="D24" s="729"/>
      <c r="E24" s="715"/>
      <c r="F24" s="728"/>
      <c r="G24" s="724"/>
      <c r="H24" s="718"/>
      <c r="I24" s="688"/>
      <c r="K24" s="64"/>
    </row>
    <row r="25" spans="1:11">
      <c r="A25" s="760"/>
      <c r="B25" s="728"/>
      <c r="C25" s="749"/>
      <c r="D25" s="729"/>
      <c r="E25" s="715"/>
      <c r="F25" s="728"/>
      <c r="G25" s="724"/>
      <c r="H25" s="718"/>
      <c r="I25" s="688"/>
      <c r="J25" s="64"/>
    </row>
    <row r="26" spans="1:11">
      <c r="A26" s="760"/>
      <c r="B26" s="728"/>
      <c r="C26" s="749"/>
      <c r="D26" s="729"/>
      <c r="E26" s="715"/>
      <c r="F26" s="728"/>
      <c r="G26" s="724"/>
      <c r="H26" s="718"/>
      <c r="I26" s="688"/>
      <c r="J26" s="64"/>
    </row>
    <row r="27" spans="1:11">
      <c r="A27" s="760"/>
      <c r="B27" s="540"/>
      <c r="C27" s="750"/>
      <c r="D27" s="730"/>
      <c r="E27" s="716"/>
      <c r="F27" s="540"/>
      <c r="G27" s="725"/>
      <c r="H27" s="719"/>
      <c r="I27" s="689"/>
      <c r="J27" s="64"/>
    </row>
    <row r="28" spans="1:11">
      <c r="A28" s="760"/>
      <c r="B28" s="720" t="s">
        <v>26</v>
      </c>
      <c r="C28" s="53"/>
      <c r="D28" s="705" t="s">
        <v>718</v>
      </c>
      <c r="E28" s="714"/>
      <c r="F28" s="720" t="s">
        <v>26</v>
      </c>
      <c r="G28" s="726"/>
      <c r="H28" s="717" t="s">
        <v>719</v>
      </c>
      <c r="I28" s="687"/>
      <c r="J28" s="64"/>
    </row>
    <row r="29" spans="1:11">
      <c r="A29" s="760"/>
      <c r="B29" s="721"/>
      <c r="C29" s="50"/>
      <c r="D29" s="729"/>
      <c r="E29" s="715"/>
      <c r="F29" s="721"/>
      <c r="G29" s="724"/>
      <c r="H29" s="718"/>
      <c r="I29" s="688"/>
      <c r="K29" s="64"/>
    </row>
    <row r="30" spans="1:11">
      <c r="A30" s="760"/>
      <c r="B30" s="721"/>
      <c r="C30" s="50"/>
      <c r="D30" s="729"/>
      <c r="E30" s="715"/>
      <c r="F30" s="721"/>
      <c r="G30" s="724"/>
      <c r="H30" s="718"/>
      <c r="I30" s="688"/>
      <c r="K30" s="64"/>
    </row>
    <row r="31" spans="1:11">
      <c r="A31" s="760"/>
      <c r="B31" s="721"/>
      <c r="C31" s="50"/>
      <c r="D31" s="729"/>
      <c r="E31" s="715"/>
      <c r="F31" s="721"/>
      <c r="G31" s="724"/>
      <c r="H31" s="718"/>
      <c r="I31" s="688"/>
      <c r="K31" s="64"/>
    </row>
    <row r="32" spans="1:11">
      <c r="A32" s="761"/>
      <c r="B32" s="722"/>
      <c r="C32" s="54"/>
      <c r="D32" s="706"/>
      <c r="E32" s="740"/>
      <c r="F32" s="722"/>
      <c r="G32" s="727"/>
      <c r="H32" s="719"/>
      <c r="I32" s="690"/>
      <c r="J32" s="64"/>
    </row>
    <row r="33" spans="1:11" ht="42" customHeight="1">
      <c r="A33" s="55" t="s">
        <v>720</v>
      </c>
      <c r="J33" s="64"/>
    </row>
    <row r="34" spans="1:11">
      <c r="A34" s="759" t="s">
        <v>721</v>
      </c>
      <c r="B34" s="533" t="s">
        <v>11</v>
      </c>
      <c r="C34" s="48"/>
      <c r="D34" s="731" t="s">
        <v>722</v>
      </c>
      <c r="E34" s="741"/>
      <c r="F34" s="533" t="s">
        <v>11</v>
      </c>
      <c r="G34" s="726"/>
      <c r="H34" s="717" t="s">
        <v>723</v>
      </c>
      <c r="I34" s="713"/>
      <c r="J34" s="64"/>
    </row>
    <row r="35" spans="1:11">
      <c r="A35" s="760"/>
      <c r="B35" s="534"/>
      <c r="C35" s="50"/>
      <c r="D35" s="703"/>
      <c r="E35" s="742"/>
      <c r="F35" s="534"/>
      <c r="G35" s="724"/>
      <c r="H35" s="718"/>
      <c r="I35" s="688"/>
    </row>
    <row r="36" spans="1:11">
      <c r="A36" s="760"/>
      <c r="B36" s="534"/>
      <c r="C36" s="50"/>
      <c r="D36" s="703"/>
      <c r="E36" s="742"/>
      <c r="F36" s="534"/>
      <c r="G36" s="724"/>
      <c r="H36" s="718"/>
      <c r="I36" s="688"/>
      <c r="J36" s="64"/>
    </row>
    <row r="37" spans="1:11">
      <c r="A37" s="760"/>
      <c r="B37" s="534"/>
      <c r="C37" s="50"/>
      <c r="D37" s="703"/>
      <c r="E37" s="742"/>
      <c r="F37" s="534"/>
      <c r="G37" s="724"/>
      <c r="H37" s="718"/>
      <c r="I37" s="688"/>
      <c r="J37" s="64"/>
    </row>
    <row r="38" spans="1:11" ht="26.25" customHeight="1">
      <c r="A38" s="760"/>
      <c r="B38" s="535"/>
      <c r="C38" s="51"/>
      <c r="D38" s="732"/>
      <c r="E38" s="743"/>
      <c r="F38" s="535"/>
      <c r="G38" s="727"/>
      <c r="H38" s="719"/>
      <c r="I38" s="689"/>
      <c r="J38" s="64"/>
    </row>
    <row r="39" spans="1:11" ht="15" customHeight="1">
      <c r="A39" s="760"/>
      <c r="B39" s="494" t="s">
        <v>14</v>
      </c>
      <c r="C39" s="53"/>
      <c r="D39" s="705" t="s">
        <v>724</v>
      </c>
      <c r="E39" s="714"/>
      <c r="F39" s="494" t="s">
        <v>14</v>
      </c>
      <c r="G39" s="726"/>
      <c r="H39" s="717" t="s">
        <v>725</v>
      </c>
      <c r="I39" s="687"/>
      <c r="K39" s="64"/>
    </row>
    <row r="40" spans="1:11" ht="15" customHeight="1">
      <c r="A40" s="760"/>
      <c r="B40" s="495"/>
      <c r="C40" s="50"/>
      <c r="D40" s="729"/>
      <c r="E40" s="715"/>
      <c r="F40" s="495"/>
      <c r="G40" s="724"/>
      <c r="H40" s="718"/>
      <c r="I40" s="688"/>
      <c r="J40" s="64"/>
    </row>
    <row r="41" spans="1:11" ht="15" customHeight="1">
      <c r="A41" s="760"/>
      <c r="B41" s="495"/>
      <c r="C41" s="749"/>
      <c r="D41" s="729"/>
      <c r="E41" s="715"/>
      <c r="F41" s="495"/>
      <c r="G41" s="724"/>
      <c r="H41" s="718"/>
      <c r="I41" s="688"/>
      <c r="J41" s="64"/>
    </row>
    <row r="42" spans="1:11" ht="15" customHeight="1">
      <c r="A42" s="760"/>
      <c r="B42" s="495"/>
      <c r="C42" s="749"/>
      <c r="D42" s="729"/>
      <c r="E42" s="715"/>
      <c r="F42" s="495"/>
      <c r="G42" s="724"/>
      <c r="H42" s="718"/>
      <c r="I42" s="688"/>
    </row>
    <row r="43" spans="1:11" ht="15.75" customHeight="1">
      <c r="A43" s="760"/>
      <c r="B43" s="496"/>
      <c r="C43" s="750"/>
      <c r="D43" s="730"/>
      <c r="E43" s="740"/>
      <c r="F43" s="496"/>
      <c r="G43" s="727"/>
      <c r="H43" s="719"/>
      <c r="I43" s="689"/>
    </row>
    <row r="44" spans="1:11">
      <c r="A44" s="760"/>
      <c r="B44" s="536" t="s">
        <v>17</v>
      </c>
      <c r="C44" s="53"/>
      <c r="D44" s="702" t="s">
        <v>726</v>
      </c>
      <c r="E44" s="714"/>
      <c r="F44" s="536" t="s">
        <v>17</v>
      </c>
      <c r="G44" s="726"/>
      <c r="H44" s="717" t="s">
        <v>727</v>
      </c>
      <c r="I44" s="714"/>
    </row>
    <row r="45" spans="1:11">
      <c r="A45" s="760"/>
      <c r="B45" s="537"/>
      <c r="C45" s="50"/>
      <c r="D45" s="703"/>
      <c r="E45" s="715"/>
      <c r="F45" s="537"/>
      <c r="G45" s="724"/>
      <c r="H45" s="718"/>
      <c r="I45" s="715"/>
      <c r="J45" s="64"/>
    </row>
    <row r="46" spans="1:11">
      <c r="A46" s="760"/>
      <c r="B46" s="537"/>
      <c r="C46" s="50"/>
      <c r="D46" s="703"/>
      <c r="E46" s="715"/>
      <c r="F46" s="537"/>
      <c r="G46" s="724"/>
      <c r="H46" s="718"/>
      <c r="I46" s="715"/>
      <c r="K46" s="64"/>
    </row>
    <row r="47" spans="1:11">
      <c r="A47" s="760"/>
      <c r="B47" s="537"/>
      <c r="C47" s="50"/>
      <c r="D47" s="703"/>
      <c r="E47" s="715"/>
      <c r="F47" s="537"/>
      <c r="G47" s="724"/>
      <c r="H47" s="718"/>
      <c r="I47" s="715"/>
      <c r="J47" s="70"/>
    </row>
    <row r="48" spans="1:11">
      <c r="A48" s="760"/>
      <c r="B48" s="538"/>
      <c r="C48" s="51"/>
      <c r="D48" s="732"/>
      <c r="E48" s="716"/>
      <c r="F48" s="538"/>
      <c r="G48" s="727"/>
      <c r="H48" s="719"/>
      <c r="I48" s="716"/>
      <c r="J48" s="70"/>
    </row>
    <row r="49" spans="1:10" ht="15" customHeight="1">
      <c r="A49" s="760"/>
      <c r="B49" s="539" t="s">
        <v>22</v>
      </c>
      <c r="C49" s="53"/>
      <c r="D49" s="705" t="s">
        <v>728</v>
      </c>
      <c r="E49" s="714"/>
      <c r="F49" s="539" t="s">
        <v>22</v>
      </c>
      <c r="G49" s="726"/>
      <c r="H49" s="717" t="s">
        <v>729</v>
      </c>
      <c r="I49" s="687"/>
      <c r="J49" s="70"/>
    </row>
    <row r="50" spans="1:10">
      <c r="A50" s="760"/>
      <c r="B50" s="728"/>
      <c r="C50" s="749"/>
      <c r="D50" s="729"/>
      <c r="E50" s="715"/>
      <c r="F50" s="728"/>
      <c r="G50" s="724"/>
      <c r="H50" s="718"/>
      <c r="I50" s="688"/>
      <c r="J50" s="70"/>
    </row>
    <row r="51" spans="1:10">
      <c r="A51" s="760"/>
      <c r="B51" s="728"/>
      <c r="C51" s="749"/>
      <c r="D51" s="729"/>
      <c r="E51" s="715"/>
      <c r="F51" s="728"/>
      <c r="G51" s="724"/>
      <c r="H51" s="718"/>
      <c r="I51" s="688"/>
      <c r="J51" s="70"/>
    </row>
    <row r="52" spans="1:10">
      <c r="A52" s="760"/>
      <c r="B52" s="728"/>
      <c r="C52" s="749"/>
      <c r="D52" s="729"/>
      <c r="E52" s="715"/>
      <c r="F52" s="728"/>
      <c r="G52" s="724"/>
      <c r="H52" s="718"/>
      <c r="I52" s="688"/>
      <c r="J52" s="70"/>
    </row>
    <row r="53" spans="1:10">
      <c r="A53" s="760"/>
      <c r="B53" s="540"/>
      <c r="C53" s="750"/>
      <c r="D53" s="730"/>
      <c r="E53" s="715"/>
      <c r="F53" s="728"/>
      <c r="G53" s="727"/>
      <c r="H53" s="719"/>
      <c r="I53" s="689"/>
      <c r="J53" s="70"/>
    </row>
    <row r="54" spans="1:10" ht="30" customHeight="1">
      <c r="A54" s="760"/>
      <c r="B54" s="720" t="s">
        <v>26</v>
      </c>
      <c r="C54" s="53"/>
      <c r="D54" s="702" t="s">
        <v>730</v>
      </c>
      <c r="E54" s="714"/>
      <c r="F54" s="720" t="s">
        <v>26</v>
      </c>
      <c r="G54" s="723"/>
      <c r="H54" s="702" t="s">
        <v>731</v>
      </c>
      <c r="I54" s="687"/>
      <c r="J54" s="70"/>
    </row>
    <row r="55" spans="1:10">
      <c r="A55" s="760"/>
      <c r="B55" s="721"/>
      <c r="C55" s="50"/>
      <c r="D55" s="703"/>
      <c r="E55" s="715"/>
      <c r="F55" s="721"/>
      <c r="G55" s="724"/>
      <c r="H55" s="703"/>
      <c r="I55" s="688"/>
      <c r="J55" s="70"/>
    </row>
    <row r="56" spans="1:10">
      <c r="A56" s="760"/>
      <c r="B56" s="721"/>
      <c r="C56" s="50"/>
      <c r="D56" s="703"/>
      <c r="E56" s="715"/>
      <c r="F56" s="721"/>
      <c r="G56" s="724"/>
      <c r="H56" s="703"/>
      <c r="I56" s="688"/>
      <c r="J56" s="70"/>
    </row>
    <row r="57" spans="1:10">
      <c r="A57" s="760"/>
      <c r="B57" s="721"/>
      <c r="C57" s="50"/>
      <c r="D57" s="703"/>
      <c r="E57" s="715"/>
      <c r="F57" s="721"/>
      <c r="G57" s="724"/>
      <c r="H57" s="703"/>
      <c r="I57" s="688"/>
      <c r="J57" s="70"/>
    </row>
    <row r="58" spans="1:10" ht="15" customHeight="1">
      <c r="A58" s="760"/>
      <c r="B58" s="721"/>
      <c r="C58" s="50"/>
      <c r="D58" s="703"/>
      <c r="E58" s="715"/>
      <c r="F58" s="721"/>
      <c r="G58" s="724"/>
      <c r="H58" s="703"/>
      <c r="I58" s="688"/>
    </row>
    <row r="59" spans="1:10">
      <c r="A59" s="761"/>
      <c r="B59" s="722"/>
      <c r="C59" s="54"/>
      <c r="D59" s="704"/>
      <c r="E59" s="740"/>
      <c r="F59" s="722"/>
      <c r="G59" s="725"/>
      <c r="H59" s="704"/>
      <c r="I59" s="690"/>
      <c r="J59" s="64"/>
    </row>
    <row r="60" spans="1:10" ht="42" customHeight="1">
      <c r="A60" s="55" t="s">
        <v>720</v>
      </c>
      <c r="J60" s="64"/>
    </row>
    <row r="61" spans="1:10" ht="52">
      <c r="A61" s="759" t="s">
        <v>732</v>
      </c>
      <c r="B61" s="533" t="s">
        <v>11</v>
      </c>
      <c r="C61" s="48"/>
      <c r="D61" s="731" t="s">
        <v>733</v>
      </c>
      <c r="E61" s="736"/>
      <c r="F61" s="533" t="s">
        <v>11</v>
      </c>
      <c r="G61" s="57" t="s">
        <v>15</v>
      </c>
      <c r="H61" s="58" t="s">
        <v>734</v>
      </c>
      <c r="I61" s="707"/>
      <c r="J61" s="64"/>
    </row>
    <row r="62" spans="1:10" ht="45" customHeight="1">
      <c r="A62" s="760"/>
      <c r="B62" s="534"/>
      <c r="C62" s="50"/>
      <c r="D62" s="703"/>
      <c r="E62" s="737"/>
      <c r="F62" s="534"/>
      <c r="G62" s="59" t="s">
        <v>19</v>
      </c>
      <c r="H62" s="60" t="s">
        <v>735</v>
      </c>
      <c r="I62" s="708"/>
      <c r="J62" s="64"/>
    </row>
    <row r="63" spans="1:10" ht="39">
      <c r="A63" s="760"/>
      <c r="B63" s="534"/>
      <c r="C63" s="50"/>
      <c r="D63" s="703"/>
      <c r="E63" s="737"/>
      <c r="F63" s="534"/>
      <c r="G63" s="59" t="s">
        <v>24</v>
      </c>
      <c r="H63" s="61" t="s">
        <v>736</v>
      </c>
      <c r="I63" s="708"/>
      <c r="J63" s="64"/>
    </row>
    <row r="64" spans="1:10" ht="45" customHeight="1">
      <c r="A64" s="760"/>
      <c r="B64" s="534"/>
      <c r="C64" s="50"/>
      <c r="D64" s="703"/>
      <c r="E64" s="737"/>
      <c r="F64" s="534"/>
      <c r="G64" s="723" t="s">
        <v>36</v>
      </c>
      <c r="H64" s="419" t="s">
        <v>737</v>
      </c>
      <c r="I64" s="708"/>
    </row>
    <row r="65" spans="1:9" ht="15" customHeight="1">
      <c r="A65" s="760"/>
      <c r="B65" s="535"/>
      <c r="C65" s="51"/>
      <c r="D65" s="732"/>
      <c r="E65" s="738"/>
      <c r="F65" s="535"/>
      <c r="G65" s="727"/>
      <c r="H65" s="420"/>
      <c r="I65" s="709"/>
    </row>
    <row r="66" spans="1:9" ht="39">
      <c r="A66" s="760"/>
      <c r="B66" s="494" t="s">
        <v>14</v>
      </c>
      <c r="C66" s="53"/>
      <c r="D66" s="702" t="s">
        <v>738</v>
      </c>
      <c r="E66" s="744"/>
      <c r="F66" s="494" t="s">
        <v>14</v>
      </c>
      <c r="G66" s="59" t="s">
        <v>15</v>
      </c>
      <c r="H66" s="71" t="s">
        <v>739</v>
      </c>
      <c r="I66" s="710"/>
    </row>
    <row r="67" spans="1:9" ht="26">
      <c r="A67" s="760"/>
      <c r="B67" s="495"/>
      <c r="C67" s="50"/>
      <c r="D67" s="703"/>
      <c r="E67" s="742"/>
      <c r="F67" s="495"/>
      <c r="G67" s="59" t="s">
        <v>19</v>
      </c>
      <c r="H67" s="60" t="s">
        <v>740</v>
      </c>
      <c r="I67" s="711"/>
    </row>
    <row r="68" spans="1:9" ht="26">
      <c r="A68" s="760"/>
      <c r="B68" s="495"/>
      <c r="C68" s="50"/>
      <c r="D68" s="703"/>
      <c r="E68" s="742"/>
      <c r="F68" s="495"/>
      <c r="G68" s="59" t="s">
        <v>24</v>
      </c>
      <c r="H68" s="60" t="s">
        <v>741</v>
      </c>
      <c r="I68" s="711"/>
    </row>
    <row r="69" spans="1:9" ht="26">
      <c r="A69" s="760"/>
      <c r="B69" s="496"/>
      <c r="C69" s="51"/>
      <c r="D69" s="732"/>
      <c r="E69" s="743"/>
      <c r="F69" s="496"/>
      <c r="G69" s="59" t="s">
        <v>36</v>
      </c>
      <c r="H69" s="60" t="s">
        <v>742</v>
      </c>
      <c r="I69" s="712"/>
    </row>
    <row r="70" spans="1:9" ht="39">
      <c r="A70" s="760"/>
      <c r="B70" s="536" t="s">
        <v>17</v>
      </c>
      <c r="C70" s="53"/>
      <c r="D70" s="702" t="s">
        <v>743</v>
      </c>
      <c r="E70" s="714"/>
      <c r="F70" s="536" t="s">
        <v>17</v>
      </c>
      <c r="G70" s="59" t="s">
        <v>15</v>
      </c>
      <c r="H70" s="60" t="s">
        <v>744</v>
      </c>
      <c r="I70" s="687"/>
    </row>
    <row r="71" spans="1:9" ht="26">
      <c r="A71" s="760"/>
      <c r="B71" s="537"/>
      <c r="C71" s="50"/>
      <c r="D71" s="703"/>
      <c r="E71" s="715"/>
      <c r="F71" s="537"/>
      <c r="G71" s="59" t="s">
        <v>19</v>
      </c>
      <c r="H71" s="60" t="s">
        <v>745</v>
      </c>
      <c r="I71" s="688"/>
    </row>
    <row r="72" spans="1:9" ht="26">
      <c r="A72" s="760"/>
      <c r="B72" s="537"/>
      <c r="C72" s="50"/>
      <c r="D72" s="703"/>
      <c r="E72" s="715"/>
      <c r="F72" s="537"/>
      <c r="G72" s="59" t="s">
        <v>24</v>
      </c>
      <c r="H72" s="60" t="s">
        <v>746</v>
      </c>
      <c r="I72" s="688"/>
    </row>
    <row r="73" spans="1:9" ht="26">
      <c r="A73" s="760"/>
      <c r="B73" s="537"/>
      <c r="C73" s="50"/>
      <c r="D73" s="703"/>
      <c r="E73" s="716"/>
      <c r="F73" s="537"/>
      <c r="G73" s="59" t="s">
        <v>36</v>
      </c>
      <c r="H73" s="60" t="s">
        <v>747</v>
      </c>
      <c r="I73" s="688"/>
    </row>
    <row r="74" spans="1:9" ht="39">
      <c r="A74" s="760"/>
      <c r="B74" s="539" t="s">
        <v>22</v>
      </c>
      <c r="C74" s="53"/>
      <c r="D74" s="705" t="s">
        <v>748</v>
      </c>
      <c r="E74" s="714"/>
      <c r="F74" s="539" t="s">
        <v>22</v>
      </c>
      <c r="G74" s="59" t="s">
        <v>15</v>
      </c>
      <c r="H74" s="72" t="s">
        <v>749</v>
      </c>
      <c r="I74" s="687"/>
    </row>
    <row r="75" spans="1:9" ht="26">
      <c r="A75" s="760"/>
      <c r="B75" s="728"/>
      <c r="C75" s="50"/>
      <c r="D75" s="729"/>
      <c r="E75" s="715"/>
      <c r="F75" s="728"/>
      <c r="G75" s="59" t="s">
        <v>19</v>
      </c>
      <c r="H75" s="60" t="s">
        <v>750</v>
      </c>
      <c r="I75" s="688"/>
    </row>
    <row r="76" spans="1:9" ht="39">
      <c r="A76" s="760"/>
      <c r="B76" s="728"/>
      <c r="C76" s="749"/>
      <c r="D76" s="729"/>
      <c r="E76" s="715"/>
      <c r="F76" s="728"/>
      <c r="G76" s="59" t="s">
        <v>24</v>
      </c>
      <c r="H76" s="60" t="s">
        <v>751</v>
      </c>
      <c r="I76" s="688"/>
    </row>
    <row r="77" spans="1:9" ht="26">
      <c r="A77" s="760"/>
      <c r="B77" s="540"/>
      <c r="C77" s="750"/>
      <c r="D77" s="730"/>
      <c r="E77" s="716"/>
      <c r="F77" s="540"/>
      <c r="G77" s="59" t="s">
        <v>36</v>
      </c>
      <c r="H77" s="60" t="s">
        <v>752</v>
      </c>
      <c r="I77" s="689"/>
    </row>
    <row r="78" spans="1:9" ht="39">
      <c r="A78" s="760"/>
      <c r="B78" s="720" t="s">
        <v>26</v>
      </c>
      <c r="C78" s="53"/>
      <c r="D78" s="702" t="s">
        <v>753</v>
      </c>
      <c r="E78" s="714"/>
      <c r="F78" s="720" t="s">
        <v>26</v>
      </c>
      <c r="G78" s="59" t="s">
        <v>15</v>
      </c>
      <c r="H78" s="60" t="s">
        <v>754</v>
      </c>
      <c r="I78" s="687"/>
    </row>
    <row r="79" spans="1:9" ht="26">
      <c r="A79" s="760"/>
      <c r="B79" s="721"/>
      <c r="C79" s="50"/>
      <c r="D79" s="703"/>
      <c r="E79" s="715"/>
      <c r="F79" s="721"/>
      <c r="G79" s="49" t="s">
        <v>19</v>
      </c>
      <c r="H79" s="56" t="s">
        <v>755</v>
      </c>
      <c r="I79" s="688"/>
    </row>
    <row r="80" spans="1:9" ht="39">
      <c r="A80" s="760"/>
      <c r="B80" s="721"/>
      <c r="C80" s="50"/>
      <c r="D80" s="703"/>
      <c r="E80" s="715"/>
      <c r="F80" s="721"/>
      <c r="G80" s="49" t="s">
        <v>24</v>
      </c>
      <c r="H80" s="56" t="s">
        <v>756</v>
      </c>
      <c r="I80" s="688"/>
    </row>
    <row r="81" spans="1:9">
      <c r="A81" s="760"/>
      <c r="B81" s="721"/>
      <c r="C81" s="50"/>
      <c r="D81" s="703"/>
      <c r="E81" s="715"/>
      <c r="F81" s="721"/>
      <c r="G81" s="723" t="s">
        <v>36</v>
      </c>
      <c r="H81" s="705" t="s">
        <v>757</v>
      </c>
      <c r="I81" s="688"/>
    </row>
    <row r="82" spans="1:9">
      <c r="A82" s="761"/>
      <c r="B82" s="722"/>
      <c r="C82" s="54"/>
      <c r="D82" s="704"/>
      <c r="E82" s="740"/>
      <c r="F82" s="722"/>
      <c r="G82" s="725"/>
      <c r="H82" s="706"/>
      <c r="I82" s="690"/>
    </row>
    <row r="83" spans="1:9" ht="42" customHeight="1">
      <c r="A83" s="73" t="s">
        <v>720</v>
      </c>
      <c r="B83" s="74"/>
      <c r="C83" s="75"/>
      <c r="D83" s="76"/>
      <c r="E83" s="74"/>
      <c r="F83" s="74"/>
      <c r="G83" s="74"/>
      <c r="H83" s="77"/>
      <c r="I83" s="82"/>
    </row>
    <row r="84" spans="1:9" ht="25.5" customHeight="1">
      <c r="A84" s="759" t="s">
        <v>758</v>
      </c>
      <c r="B84" s="533" t="s">
        <v>11</v>
      </c>
      <c r="C84" s="48"/>
      <c r="D84" s="731" t="s">
        <v>759</v>
      </c>
      <c r="E84" s="736"/>
      <c r="F84" s="533" t="s">
        <v>11</v>
      </c>
      <c r="G84" s="57" t="s">
        <v>15</v>
      </c>
      <c r="H84" s="58" t="s">
        <v>760</v>
      </c>
      <c r="I84" s="684"/>
    </row>
    <row r="85" spans="1:9" ht="39">
      <c r="A85" s="760"/>
      <c r="B85" s="534"/>
      <c r="C85" s="50"/>
      <c r="D85" s="703"/>
      <c r="E85" s="737"/>
      <c r="F85" s="534"/>
      <c r="G85" s="59" t="s">
        <v>19</v>
      </c>
      <c r="H85" s="61" t="s">
        <v>736</v>
      </c>
      <c r="I85" s="685"/>
    </row>
    <row r="86" spans="1:9" ht="26">
      <c r="A86" s="760"/>
      <c r="B86" s="534"/>
      <c r="C86" s="50"/>
      <c r="D86" s="703"/>
      <c r="E86" s="737"/>
      <c r="F86" s="534"/>
      <c r="G86" s="59" t="s">
        <v>24</v>
      </c>
      <c r="H86" s="61" t="s">
        <v>737</v>
      </c>
      <c r="I86" s="685"/>
    </row>
    <row r="87" spans="1:9" ht="26">
      <c r="A87" s="760"/>
      <c r="B87" s="534"/>
      <c r="C87" s="50"/>
      <c r="D87" s="703"/>
      <c r="E87" s="737"/>
      <c r="F87" s="534"/>
      <c r="G87" s="59" t="s">
        <v>36</v>
      </c>
      <c r="H87" s="61" t="s">
        <v>761</v>
      </c>
      <c r="I87" s="685"/>
    </row>
    <row r="88" spans="1:9" ht="39">
      <c r="A88" s="760"/>
      <c r="B88" s="535"/>
      <c r="C88" s="51"/>
      <c r="D88" s="732"/>
      <c r="E88" s="738"/>
      <c r="F88" s="535"/>
      <c r="G88" s="59" t="s">
        <v>61</v>
      </c>
      <c r="H88" s="61" t="s">
        <v>762</v>
      </c>
      <c r="I88" s="686"/>
    </row>
    <row r="89" spans="1:9">
      <c r="A89" s="760"/>
      <c r="B89" s="494" t="s">
        <v>14</v>
      </c>
      <c r="C89" s="53"/>
      <c r="D89" s="733" t="s">
        <v>763</v>
      </c>
      <c r="E89" s="745"/>
      <c r="F89" s="494" t="s">
        <v>14</v>
      </c>
      <c r="G89" s="59" t="s">
        <v>15</v>
      </c>
      <c r="H89" s="71" t="s">
        <v>764</v>
      </c>
      <c r="I89" s="687"/>
    </row>
    <row r="90" spans="1:9" ht="26">
      <c r="A90" s="760"/>
      <c r="B90" s="495"/>
      <c r="C90" s="50"/>
      <c r="D90" s="734"/>
      <c r="E90" s="746"/>
      <c r="F90" s="495"/>
      <c r="G90" s="59" t="s">
        <v>19</v>
      </c>
      <c r="H90" s="60" t="s">
        <v>741</v>
      </c>
      <c r="I90" s="688"/>
    </row>
    <row r="91" spans="1:9" ht="26">
      <c r="A91" s="760"/>
      <c r="B91" s="495"/>
      <c r="C91" s="50"/>
      <c r="D91" s="734"/>
      <c r="E91" s="746"/>
      <c r="F91" s="495"/>
      <c r="G91" s="59" t="s">
        <v>24</v>
      </c>
      <c r="H91" s="60" t="s">
        <v>742</v>
      </c>
      <c r="I91" s="688"/>
    </row>
    <row r="92" spans="1:9" ht="39">
      <c r="A92" s="760"/>
      <c r="B92" s="495"/>
      <c r="C92" s="749"/>
      <c r="D92" s="734"/>
      <c r="E92" s="746"/>
      <c r="F92" s="495"/>
      <c r="G92" s="59" t="s">
        <v>36</v>
      </c>
      <c r="H92" s="60" t="s">
        <v>765</v>
      </c>
      <c r="I92" s="689"/>
    </row>
    <row r="93" spans="1:9" ht="39">
      <c r="A93" s="760"/>
      <c r="B93" s="496"/>
      <c r="C93" s="750"/>
      <c r="D93" s="735"/>
      <c r="E93" s="747"/>
      <c r="F93" s="496"/>
      <c r="G93" s="59" t="s">
        <v>61</v>
      </c>
      <c r="H93" s="60" t="s">
        <v>766</v>
      </c>
      <c r="I93" s="68"/>
    </row>
    <row r="94" spans="1:9" ht="26">
      <c r="A94" s="760"/>
      <c r="B94" s="536" t="s">
        <v>17</v>
      </c>
      <c r="C94" s="53"/>
      <c r="D94" s="702" t="s">
        <v>767</v>
      </c>
      <c r="E94" s="714"/>
      <c r="F94" s="536" t="s">
        <v>17</v>
      </c>
      <c r="G94" s="59" t="s">
        <v>15</v>
      </c>
      <c r="H94" s="72" t="s">
        <v>768</v>
      </c>
      <c r="I94" s="687"/>
    </row>
    <row r="95" spans="1:9" ht="39">
      <c r="A95" s="760"/>
      <c r="B95" s="537"/>
      <c r="C95" s="50"/>
      <c r="D95" s="703"/>
      <c r="E95" s="715"/>
      <c r="F95" s="537"/>
      <c r="G95" s="59" t="s">
        <v>19</v>
      </c>
      <c r="H95" s="60" t="s">
        <v>769</v>
      </c>
      <c r="I95" s="688"/>
    </row>
    <row r="96" spans="1:9" ht="26">
      <c r="A96" s="760"/>
      <c r="B96" s="537"/>
      <c r="C96" s="50"/>
      <c r="D96" s="703"/>
      <c r="E96" s="715"/>
      <c r="F96" s="537"/>
      <c r="G96" s="59" t="s">
        <v>24</v>
      </c>
      <c r="H96" s="60" t="s">
        <v>747</v>
      </c>
      <c r="I96" s="688"/>
    </row>
    <row r="97" spans="1:9" ht="39">
      <c r="A97" s="760"/>
      <c r="B97" s="537"/>
      <c r="C97" s="50"/>
      <c r="D97" s="703"/>
      <c r="E97" s="715"/>
      <c r="F97" s="537"/>
      <c r="G97" s="59" t="s">
        <v>36</v>
      </c>
      <c r="H97" s="60" t="s">
        <v>769</v>
      </c>
      <c r="I97" s="688"/>
    </row>
    <row r="98" spans="1:9" ht="39">
      <c r="A98" s="760"/>
      <c r="B98" s="538"/>
      <c r="C98" s="51"/>
      <c r="D98" s="732"/>
      <c r="E98" s="716"/>
      <c r="F98" s="538"/>
      <c r="G98" s="59" t="s">
        <v>61</v>
      </c>
      <c r="H98" s="28" t="s">
        <v>770</v>
      </c>
      <c r="I98" s="689"/>
    </row>
    <row r="99" spans="1:9" ht="26">
      <c r="A99" s="760"/>
      <c r="B99" s="539" t="s">
        <v>22</v>
      </c>
      <c r="C99" s="53"/>
      <c r="D99" s="705" t="s">
        <v>771</v>
      </c>
      <c r="E99" s="714"/>
      <c r="F99" s="539" t="s">
        <v>22</v>
      </c>
      <c r="G99" s="59" t="s">
        <v>15</v>
      </c>
      <c r="H99" s="71" t="s">
        <v>772</v>
      </c>
      <c r="I99" s="687"/>
    </row>
    <row r="100" spans="1:9" ht="46.5" customHeight="1">
      <c r="A100" s="760"/>
      <c r="B100" s="728"/>
      <c r="C100" s="749"/>
      <c r="D100" s="729"/>
      <c r="E100" s="715"/>
      <c r="F100" s="728"/>
      <c r="G100" s="59" t="s">
        <v>19</v>
      </c>
      <c r="H100" s="60" t="s">
        <v>751</v>
      </c>
      <c r="I100" s="688"/>
    </row>
    <row r="101" spans="1:9" ht="26">
      <c r="A101" s="760"/>
      <c r="B101" s="728"/>
      <c r="C101" s="749"/>
      <c r="D101" s="729"/>
      <c r="E101" s="715"/>
      <c r="F101" s="728"/>
      <c r="G101" s="59" t="s">
        <v>24</v>
      </c>
      <c r="H101" s="78" t="s">
        <v>752</v>
      </c>
      <c r="I101" s="688"/>
    </row>
    <row r="102" spans="1:9" ht="39.5">
      <c r="A102" s="760"/>
      <c r="B102" s="728"/>
      <c r="C102" s="749"/>
      <c r="D102" s="729"/>
      <c r="E102" s="715"/>
      <c r="F102" s="728"/>
      <c r="G102" s="59" t="s">
        <v>36</v>
      </c>
      <c r="H102" s="79" t="s">
        <v>751</v>
      </c>
      <c r="I102" s="688"/>
    </row>
    <row r="103" spans="1:9">
      <c r="A103" s="760"/>
      <c r="B103" s="540"/>
      <c r="C103" s="750"/>
      <c r="D103" s="730"/>
      <c r="E103" s="716"/>
      <c r="F103" s="728"/>
      <c r="G103" s="59" t="s">
        <v>61</v>
      </c>
      <c r="H103" s="52" t="s">
        <v>773</v>
      </c>
      <c r="I103" s="689"/>
    </row>
    <row r="104" spans="1:9" ht="26">
      <c r="A104" s="760"/>
      <c r="B104" s="720" t="s">
        <v>26</v>
      </c>
      <c r="C104" s="53"/>
      <c r="D104" s="702" t="s">
        <v>774</v>
      </c>
      <c r="E104" s="714"/>
      <c r="F104" s="720" t="s">
        <v>26</v>
      </c>
      <c r="G104" s="59" t="s">
        <v>15</v>
      </c>
      <c r="H104" s="60" t="s">
        <v>775</v>
      </c>
      <c r="I104" s="687"/>
    </row>
    <row r="105" spans="1:9" ht="39">
      <c r="A105" s="760"/>
      <c r="B105" s="721"/>
      <c r="C105" s="50"/>
      <c r="D105" s="703"/>
      <c r="E105" s="715"/>
      <c r="F105" s="721"/>
      <c r="G105" s="59" t="s">
        <v>19</v>
      </c>
      <c r="H105" s="56" t="s">
        <v>756</v>
      </c>
      <c r="I105" s="688"/>
    </row>
    <row r="106" spans="1:9">
      <c r="A106" s="760"/>
      <c r="B106" s="721"/>
      <c r="C106" s="50"/>
      <c r="D106" s="703"/>
      <c r="E106" s="715"/>
      <c r="F106" s="721"/>
      <c r="G106" s="59" t="s">
        <v>24</v>
      </c>
      <c r="H106" s="60" t="s">
        <v>757</v>
      </c>
      <c r="I106" s="688"/>
    </row>
    <row r="107" spans="1:9" ht="39">
      <c r="A107" s="760"/>
      <c r="B107" s="721"/>
      <c r="C107" s="50"/>
      <c r="D107" s="703"/>
      <c r="E107" s="715"/>
      <c r="F107" s="721"/>
      <c r="G107" s="59" t="s">
        <v>36</v>
      </c>
      <c r="H107" s="60" t="s">
        <v>756</v>
      </c>
      <c r="I107" s="688"/>
    </row>
    <row r="108" spans="1:9" ht="26">
      <c r="A108" s="761"/>
      <c r="B108" s="722"/>
      <c r="C108" s="54"/>
      <c r="D108" s="704"/>
      <c r="E108" s="740"/>
      <c r="F108" s="722"/>
      <c r="G108" s="59" t="s">
        <v>61</v>
      </c>
      <c r="H108" s="60" t="s">
        <v>776</v>
      </c>
      <c r="I108" s="690"/>
    </row>
    <row r="109" spans="1:9" ht="42" customHeight="1">
      <c r="A109" s="73" t="s">
        <v>720</v>
      </c>
      <c r="B109" s="74"/>
      <c r="C109" s="75"/>
      <c r="D109" s="76"/>
      <c r="E109" s="74"/>
      <c r="F109" s="74"/>
      <c r="G109" s="80"/>
      <c r="H109" s="81"/>
      <c r="I109" s="82"/>
    </row>
  </sheetData>
  <mergeCells count="140">
    <mergeCell ref="A1:I1"/>
    <mergeCell ref="A6:I6"/>
    <mergeCell ref="G7:H7"/>
    <mergeCell ref="A8:A32"/>
    <mergeCell ref="A34:A59"/>
    <mergeCell ref="A61:A82"/>
    <mergeCell ref="A84:A108"/>
    <mergeCell ref="B8:B12"/>
    <mergeCell ref="B13:B17"/>
    <mergeCell ref="B18:B22"/>
    <mergeCell ref="B23:B27"/>
    <mergeCell ref="B28:B32"/>
    <mergeCell ref="B34:B38"/>
    <mergeCell ref="B39:B43"/>
    <mergeCell ref="B44:B48"/>
    <mergeCell ref="B49:B53"/>
    <mergeCell ref="B54:B59"/>
    <mergeCell ref="B61:B65"/>
    <mergeCell ref="B66:B69"/>
    <mergeCell ref="B70:B73"/>
    <mergeCell ref="B74:B77"/>
    <mergeCell ref="B78:B82"/>
    <mergeCell ref="B84:B88"/>
    <mergeCell ref="B89:B93"/>
    <mergeCell ref="B94:B98"/>
    <mergeCell ref="B99:B103"/>
    <mergeCell ref="B104:B108"/>
    <mergeCell ref="C15:C17"/>
    <mergeCell ref="C24:C27"/>
    <mergeCell ref="C41:C43"/>
    <mergeCell ref="C50:C53"/>
    <mergeCell ref="C76:C77"/>
    <mergeCell ref="C92:C93"/>
    <mergeCell ref="C100:C103"/>
    <mergeCell ref="D8:D12"/>
    <mergeCell ref="D13:D17"/>
    <mergeCell ref="D18:D22"/>
    <mergeCell ref="D23:D27"/>
    <mergeCell ref="D28:D32"/>
    <mergeCell ref="D34:D38"/>
    <mergeCell ref="D39:D43"/>
    <mergeCell ref="D44:D48"/>
    <mergeCell ref="D49:D53"/>
    <mergeCell ref="D104:D108"/>
    <mergeCell ref="E8:E12"/>
    <mergeCell ref="E13:E17"/>
    <mergeCell ref="E18:E22"/>
    <mergeCell ref="E23:E27"/>
    <mergeCell ref="E28:E32"/>
    <mergeCell ref="E34:E38"/>
    <mergeCell ref="E39:E43"/>
    <mergeCell ref="E44:E48"/>
    <mergeCell ref="E49:E53"/>
    <mergeCell ref="E54:E59"/>
    <mergeCell ref="E61:E65"/>
    <mergeCell ref="E66:E69"/>
    <mergeCell ref="E70:E73"/>
    <mergeCell ref="E74:E77"/>
    <mergeCell ref="E78:E82"/>
    <mergeCell ref="E84:E88"/>
    <mergeCell ref="E89:E93"/>
    <mergeCell ref="E94:E98"/>
    <mergeCell ref="E99:E103"/>
    <mergeCell ref="E104:E108"/>
    <mergeCell ref="D54:D59"/>
    <mergeCell ref="D61:D65"/>
    <mergeCell ref="D66:D69"/>
    <mergeCell ref="F18:F22"/>
    <mergeCell ref="F23:F27"/>
    <mergeCell ref="F28:F32"/>
    <mergeCell ref="F34:F38"/>
    <mergeCell ref="F39:F43"/>
    <mergeCell ref="F44:F48"/>
    <mergeCell ref="F49:F53"/>
    <mergeCell ref="D99:D103"/>
    <mergeCell ref="D70:D73"/>
    <mergeCell ref="D74:D77"/>
    <mergeCell ref="D78:D82"/>
    <mergeCell ref="D84:D88"/>
    <mergeCell ref="D89:D93"/>
    <mergeCell ref="D94:D98"/>
    <mergeCell ref="F99:F103"/>
    <mergeCell ref="F104:F108"/>
    <mergeCell ref="G8:G12"/>
    <mergeCell ref="G13:G17"/>
    <mergeCell ref="G18:G22"/>
    <mergeCell ref="G23:G27"/>
    <mergeCell ref="G28:G32"/>
    <mergeCell ref="G34:G38"/>
    <mergeCell ref="G39:G43"/>
    <mergeCell ref="G44:G48"/>
    <mergeCell ref="G49:G53"/>
    <mergeCell ref="G54:G59"/>
    <mergeCell ref="G64:G65"/>
    <mergeCell ref="G81:G82"/>
    <mergeCell ref="F54:F59"/>
    <mergeCell ref="F61:F65"/>
    <mergeCell ref="F66:F69"/>
    <mergeCell ref="F70:F73"/>
    <mergeCell ref="F74:F77"/>
    <mergeCell ref="F78:F82"/>
    <mergeCell ref="F84:F88"/>
    <mergeCell ref="F89:F93"/>
    <mergeCell ref="F94:F98"/>
    <mergeCell ref="F8:F12"/>
    <mergeCell ref="F13:F17"/>
    <mergeCell ref="I78:I82"/>
    <mergeCell ref="H8:H12"/>
    <mergeCell ref="H13:H17"/>
    <mergeCell ref="H18:H22"/>
    <mergeCell ref="H23:H27"/>
    <mergeCell ref="H28:H32"/>
    <mergeCell ref="H34:H38"/>
    <mergeCell ref="H39:H43"/>
    <mergeCell ref="H44:H48"/>
    <mergeCell ref="H49:H53"/>
    <mergeCell ref="I84:I88"/>
    <mergeCell ref="I89:I92"/>
    <mergeCell ref="I94:I98"/>
    <mergeCell ref="I99:I103"/>
    <mergeCell ref="I104:I108"/>
    <mergeCell ref="A2:I3"/>
    <mergeCell ref="A4:I5"/>
    <mergeCell ref="H54:H59"/>
    <mergeCell ref="H64:H65"/>
    <mergeCell ref="H81:H82"/>
    <mergeCell ref="I8:I12"/>
    <mergeCell ref="I13:I17"/>
    <mergeCell ref="I18:I22"/>
    <mergeCell ref="I23:I27"/>
    <mergeCell ref="I28:I32"/>
    <mergeCell ref="I34:I38"/>
    <mergeCell ref="I39:I43"/>
    <mergeCell ref="I44:I48"/>
    <mergeCell ref="I49:I53"/>
    <mergeCell ref="I54:I59"/>
    <mergeCell ref="I61:I65"/>
    <mergeCell ref="I66:I69"/>
    <mergeCell ref="I70:I73"/>
    <mergeCell ref="I74:I77"/>
  </mergeCells>
  <pageMargins left="0.7" right="0.7" top="0.75" bottom="0.75" header="0.3" footer="0.3"/>
  <pageSetup paperSize="41" scale="41" fitToHeight="0" orientation="portrait"/>
  <headerFooter scaleWithDoc="0">
    <oddFooter>&amp;R&amp;P</oddFooter>
  </headerFooter>
  <customProperties>
    <customPr name="EpmWorksheetKeyString_GUID" r:id="rId1"/>
  </customProperties>
  <drawing r:id="rId2"/>
  <legacyDrawing r:id="rId3"/>
  <controls>
    <mc:AlternateContent xmlns:mc="http://schemas.openxmlformats.org/markup-compatibility/2006">
      <mc:Choice Requires="x14">
        <control shapeId="39937" r:id="rId4" name="OptionButton1">
          <controlPr defaultSize="0" altText="" r:id="rId5">
            <anchor moveWithCells="1">
              <from>
                <xdr:col>1</xdr:col>
                <xdr:colOff>393700</xdr:colOff>
                <xdr:row>8</xdr:row>
                <xdr:rowOff>19050</xdr:rowOff>
              </from>
              <to>
                <xdr:col>1</xdr:col>
                <xdr:colOff>558800</xdr:colOff>
                <xdr:row>8</xdr:row>
                <xdr:rowOff>177800</xdr:rowOff>
              </to>
            </anchor>
          </controlPr>
        </control>
      </mc:Choice>
      <mc:Fallback>
        <control shapeId="39937" r:id="rId4" name="OptionButton1"/>
      </mc:Fallback>
    </mc:AlternateContent>
    <mc:AlternateContent xmlns:mc="http://schemas.openxmlformats.org/markup-compatibility/2006">
      <mc:Choice Requires="x14">
        <control shapeId="39938" r:id="rId6" name="OptionButton2">
          <controlPr defaultSize="0" altText="" r:id="rId7">
            <anchor moveWithCells="1">
              <from>
                <xdr:col>1</xdr:col>
                <xdr:colOff>381000</xdr:colOff>
                <xdr:row>12</xdr:row>
                <xdr:rowOff>152400</xdr:rowOff>
              </from>
              <to>
                <xdr:col>1</xdr:col>
                <xdr:colOff>539750</xdr:colOff>
                <xdr:row>13</xdr:row>
                <xdr:rowOff>120650</xdr:rowOff>
              </to>
            </anchor>
          </controlPr>
        </control>
      </mc:Choice>
      <mc:Fallback>
        <control shapeId="39938" r:id="rId6" name="OptionButton2"/>
      </mc:Fallback>
    </mc:AlternateContent>
    <mc:AlternateContent xmlns:mc="http://schemas.openxmlformats.org/markup-compatibility/2006">
      <mc:Choice Requires="x14">
        <control shapeId="39939" r:id="rId8" name="OptionButton3">
          <controlPr defaultSize="0" altText="" r:id="rId9">
            <anchor moveWithCells="1">
              <from>
                <xdr:col>1</xdr:col>
                <xdr:colOff>374650</xdr:colOff>
                <xdr:row>18</xdr:row>
                <xdr:rowOff>19050</xdr:rowOff>
              </from>
              <to>
                <xdr:col>1</xdr:col>
                <xdr:colOff>533400</xdr:colOff>
                <xdr:row>18</xdr:row>
                <xdr:rowOff>177800</xdr:rowOff>
              </to>
            </anchor>
          </controlPr>
        </control>
      </mc:Choice>
      <mc:Fallback>
        <control shapeId="39939" r:id="rId8" name="OptionButton3"/>
      </mc:Fallback>
    </mc:AlternateContent>
    <mc:AlternateContent xmlns:mc="http://schemas.openxmlformats.org/markup-compatibility/2006">
      <mc:Choice Requires="x14">
        <control shapeId="39940" r:id="rId10" name="OptionButton4">
          <controlPr defaultSize="0" altText="" r:id="rId11">
            <anchor moveWithCells="1">
              <from>
                <xdr:col>1</xdr:col>
                <xdr:colOff>361950</xdr:colOff>
                <xdr:row>22</xdr:row>
                <xdr:rowOff>57150</xdr:rowOff>
              </from>
              <to>
                <xdr:col>1</xdr:col>
                <xdr:colOff>520700</xdr:colOff>
                <xdr:row>23</xdr:row>
                <xdr:rowOff>25400</xdr:rowOff>
              </to>
            </anchor>
          </controlPr>
        </control>
      </mc:Choice>
      <mc:Fallback>
        <control shapeId="39940" r:id="rId10" name="OptionButton4"/>
      </mc:Fallback>
    </mc:AlternateContent>
    <mc:AlternateContent xmlns:mc="http://schemas.openxmlformats.org/markup-compatibility/2006">
      <mc:Choice Requires="x14">
        <control shapeId="39941" r:id="rId12" name="OptionButton5">
          <controlPr defaultSize="0" altText="" r:id="rId13">
            <anchor moveWithCells="1">
              <from>
                <xdr:col>1</xdr:col>
                <xdr:colOff>355600</xdr:colOff>
                <xdr:row>27</xdr:row>
                <xdr:rowOff>38100</xdr:rowOff>
              </from>
              <to>
                <xdr:col>1</xdr:col>
                <xdr:colOff>520700</xdr:colOff>
                <xdr:row>28</xdr:row>
                <xdr:rowOff>6350</xdr:rowOff>
              </to>
            </anchor>
          </controlPr>
        </control>
      </mc:Choice>
      <mc:Fallback>
        <control shapeId="39941" r:id="rId12" name="OptionButton5"/>
      </mc:Fallback>
    </mc:AlternateContent>
    <mc:AlternateContent xmlns:mc="http://schemas.openxmlformats.org/markup-compatibility/2006">
      <mc:Choice Requires="x14">
        <control shapeId="39942" r:id="rId14" name="OptionButton6">
          <controlPr defaultSize="0" altText="" r:id="rId15">
            <anchor moveWithCells="1">
              <from>
                <xdr:col>5</xdr:col>
                <xdr:colOff>355600</xdr:colOff>
                <xdr:row>8</xdr:row>
                <xdr:rowOff>31750</xdr:rowOff>
              </from>
              <to>
                <xdr:col>5</xdr:col>
                <xdr:colOff>520700</xdr:colOff>
                <xdr:row>9</xdr:row>
                <xdr:rowOff>0</xdr:rowOff>
              </to>
            </anchor>
          </controlPr>
        </control>
      </mc:Choice>
      <mc:Fallback>
        <control shapeId="39942" r:id="rId14" name="OptionButton6"/>
      </mc:Fallback>
    </mc:AlternateContent>
    <mc:AlternateContent xmlns:mc="http://schemas.openxmlformats.org/markup-compatibility/2006">
      <mc:Choice Requires="x14">
        <control shapeId="39943" r:id="rId16" name="OptionButton7">
          <controlPr defaultSize="0" altText="" r:id="rId17">
            <anchor moveWithCells="1">
              <from>
                <xdr:col>5</xdr:col>
                <xdr:colOff>381000</xdr:colOff>
                <xdr:row>12</xdr:row>
                <xdr:rowOff>127000</xdr:rowOff>
              </from>
              <to>
                <xdr:col>5</xdr:col>
                <xdr:colOff>539750</xdr:colOff>
                <xdr:row>13</xdr:row>
                <xdr:rowOff>101600</xdr:rowOff>
              </to>
            </anchor>
          </controlPr>
        </control>
      </mc:Choice>
      <mc:Fallback>
        <control shapeId="39943" r:id="rId16" name="OptionButton7"/>
      </mc:Fallback>
    </mc:AlternateContent>
    <mc:AlternateContent xmlns:mc="http://schemas.openxmlformats.org/markup-compatibility/2006">
      <mc:Choice Requires="x14">
        <control shapeId="39944" r:id="rId18" name="OptionButton8">
          <controlPr defaultSize="0" altText="" r:id="rId19">
            <anchor moveWithCells="1">
              <from>
                <xdr:col>5</xdr:col>
                <xdr:colOff>393700</xdr:colOff>
                <xdr:row>18</xdr:row>
                <xdr:rowOff>0</xdr:rowOff>
              </from>
              <to>
                <xdr:col>5</xdr:col>
                <xdr:colOff>558800</xdr:colOff>
                <xdr:row>18</xdr:row>
                <xdr:rowOff>158750</xdr:rowOff>
              </to>
            </anchor>
          </controlPr>
        </control>
      </mc:Choice>
      <mc:Fallback>
        <control shapeId="39944" r:id="rId18" name="OptionButton8"/>
      </mc:Fallback>
    </mc:AlternateContent>
    <mc:AlternateContent xmlns:mc="http://schemas.openxmlformats.org/markup-compatibility/2006">
      <mc:Choice Requires="x14">
        <control shapeId="39945" r:id="rId20" name="OptionButton9">
          <controlPr defaultSize="0" altText="" r:id="rId21">
            <anchor moveWithCells="1">
              <from>
                <xdr:col>5</xdr:col>
                <xdr:colOff>381000</xdr:colOff>
                <xdr:row>22</xdr:row>
                <xdr:rowOff>69850</xdr:rowOff>
              </from>
              <to>
                <xdr:col>5</xdr:col>
                <xdr:colOff>539750</xdr:colOff>
                <xdr:row>23</xdr:row>
                <xdr:rowOff>38100</xdr:rowOff>
              </to>
            </anchor>
          </controlPr>
        </control>
      </mc:Choice>
      <mc:Fallback>
        <control shapeId="39945" r:id="rId20" name="OptionButton9"/>
      </mc:Fallback>
    </mc:AlternateContent>
    <mc:AlternateContent xmlns:mc="http://schemas.openxmlformats.org/markup-compatibility/2006">
      <mc:Choice Requires="x14">
        <control shapeId="39946" r:id="rId22" name="OptionButton10">
          <controlPr defaultSize="0" altText="" r:id="rId23">
            <anchor moveWithCells="1">
              <from>
                <xdr:col>5</xdr:col>
                <xdr:colOff>381000</xdr:colOff>
                <xdr:row>27</xdr:row>
                <xdr:rowOff>76200</xdr:rowOff>
              </from>
              <to>
                <xdr:col>5</xdr:col>
                <xdr:colOff>539750</xdr:colOff>
                <xdr:row>28</xdr:row>
                <xdr:rowOff>44450</xdr:rowOff>
              </to>
            </anchor>
          </controlPr>
        </control>
      </mc:Choice>
      <mc:Fallback>
        <control shapeId="39946" r:id="rId22" name="OptionButton10"/>
      </mc:Fallback>
    </mc:AlternateContent>
    <mc:AlternateContent xmlns:mc="http://schemas.openxmlformats.org/markup-compatibility/2006">
      <mc:Choice Requires="x14">
        <control shapeId="39947" r:id="rId24" name="OptionButton11">
          <controlPr defaultSize="0" altText="" r:id="rId25">
            <anchor moveWithCells="1">
              <from>
                <xdr:col>1</xdr:col>
                <xdr:colOff>393700</xdr:colOff>
                <xdr:row>34</xdr:row>
                <xdr:rowOff>19050</xdr:rowOff>
              </from>
              <to>
                <xdr:col>1</xdr:col>
                <xdr:colOff>558800</xdr:colOff>
                <xdr:row>34</xdr:row>
                <xdr:rowOff>177800</xdr:rowOff>
              </to>
            </anchor>
          </controlPr>
        </control>
      </mc:Choice>
      <mc:Fallback>
        <control shapeId="39947" r:id="rId24" name="OptionButton11"/>
      </mc:Fallback>
    </mc:AlternateContent>
    <mc:AlternateContent xmlns:mc="http://schemas.openxmlformats.org/markup-compatibility/2006">
      <mc:Choice Requires="x14">
        <control shapeId="39948" r:id="rId26" name="OptionButton12">
          <controlPr defaultSize="0" altText="" r:id="rId27">
            <anchor moveWithCells="1">
              <from>
                <xdr:col>1</xdr:col>
                <xdr:colOff>381000</xdr:colOff>
                <xdr:row>38</xdr:row>
                <xdr:rowOff>152400</xdr:rowOff>
              </from>
              <to>
                <xdr:col>1</xdr:col>
                <xdr:colOff>539750</xdr:colOff>
                <xdr:row>39</xdr:row>
                <xdr:rowOff>120650</xdr:rowOff>
              </to>
            </anchor>
          </controlPr>
        </control>
      </mc:Choice>
      <mc:Fallback>
        <control shapeId="39948" r:id="rId26" name="OptionButton12"/>
      </mc:Fallback>
    </mc:AlternateContent>
    <mc:AlternateContent xmlns:mc="http://schemas.openxmlformats.org/markup-compatibility/2006">
      <mc:Choice Requires="x14">
        <control shapeId="39949" r:id="rId28" name="OptionButton13">
          <controlPr defaultSize="0" altText="" r:id="rId29">
            <anchor moveWithCells="1">
              <from>
                <xdr:col>1</xdr:col>
                <xdr:colOff>374650</xdr:colOff>
                <xdr:row>44</xdr:row>
                <xdr:rowOff>19050</xdr:rowOff>
              </from>
              <to>
                <xdr:col>1</xdr:col>
                <xdr:colOff>533400</xdr:colOff>
                <xdr:row>44</xdr:row>
                <xdr:rowOff>177800</xdr:rowOff>
              </to>
            </anchor>
          </controlPr>
        </control>
      </mc:Choice>
      <mc:Fallback>
        <control shapeId="39949" r:id="rId28" name="OptionButton13"/>
      </mc:Fallback>
    </mc:AlternateContent>
    <mc:AlternateContent xmlns:mc="http://schemas.openxmlformats.org/markup-compatibility/2006">
      <mc:Choice Requires="x14">
        <control shapeId="39950" r:id="rId30" name="OptionButton14">
          <controlPr defaultSize="0" altText="" r:id="rId31">
            <anchor moveWithCells="1">
              <from>
                <xdr:col>1</xdr:col>
                <xdr:colOff>361950</xdr:colOff>
                <xdr:row>48</xdr:row>
                <xdr:rowOff>57150</xdr:rowOff>
              </from>
              <to>
                <xdr:col>1</xdr:col>
                <xdr:colOff>520700</xdr:colOff>
                <xdr:row>49</xdr:row>
                <xdr:rowOff>25400</xdr:rowOff>
              </to>
            </anchor>
          </controlPr>
        </control>
      </mc:Choice>
      <mc:Fallback>
        <control shapeId="39950" r:id="rId30" name="OptionButton14"/>
      </mc:Fallback>
    </mc:AlternateContent>
    <mc:AlternateContent xmlns:mc="http://schemas.openxmlformats.org/markup-compatibility/2006">
      <mc:Choice Requires="x14">
        <control shapeId="39951" r:id="rId32" name="OptionButton15">
          <controlPr defaultSize="0" altText="" r:id="rId33">
            <anchor moveWithCells="1">
              <from>
                <xdr:col>1</xdr:col>
                <xdr:colOff>355600</xdr:colOff>
                <xdr:row>53</xdr:row>
                <xdr:rowOff>38100</xdr:rowOff>
              </from>
              <to>
                <xdr:col>1</xdr:col>
                <xdr:colOff>520700</xdr:colOff>
                <xdr:row>53</xdr:row>
                <xdr:rowOff>196850</xdr:rowOff>
              </to>
            </anchor>
          </controlPr>
        </control>
      </mc:Choice>
      <mc:Fallback>
        <control shapeId="39951" r:id="rId32" name="OptionButton15"/>
      </mc:Fallback>
    </mc:AlternateContent>
    <mc:AlternateContent xmlns:mc="http://schemas.openxmlformats.org/markup-compatibility/2006">
      <mc:Choice Requires="x14">
        <control shapeId="39952" r:id="rId34" name="OptionButton16">
          <controlPr defaultSize="0" altText="" r:id="rId35">
            <anchor moveWithCells="1">
              <from>
                <xdr:col>5</xdr:col>
                <xdr:colOff>355600</xdr:colOff>
                <xdr:row>34</xdr:row>
                <xdr:rowOff>31750</xdr:rowOff>
              </from>
              <to>
                <xdr:col>5</xdr:col>
                <xdr:colOff>520700</xdr:colOff>
                <xdr:row>35</xdr:row>
                <xdr:rowOff>0</xdr:rowOff>
              </to>
            </anchor>
          </controlPr>
        </control>
      </mc:Choice>
      <mc:Fallback>
        <control shapeId="39952" r:id="rId34" name="OptionButton16"/>
      </mc:Fallback>
    </mc:AlternateContent>
    <mc:AlternateContent xmlns:mc="http://schemas.openxmlformats.org/markup-compatibility/2006">
      <mc:Choice Requires="x14">
        <control shapeId="39953" r:id="rId36" name="OptionButton17">
          <controlPr defaultSize="0" altText="" r:id="rId37">
            <anchor moveWithCells="1">
              <from>
                <xdr:col>5</xdr:col>
                <xdr:colOff>381000</xdr:colOff>
                <xdr:row>38</xdr:row>
                <xdr:rowOff>127000</xdr:rowOff>
              </from>
              <to>
                <xdr:col>5</xdr:col>
                <xdr:colOff>539750</xdr:colOff>
                <xdr:row>39</xdr:row>
                <xdr:rowOff>101600</xdr:rowOff>
              </to>
            </anchor>
          </controlPr>
        </control>
      </mc:Choice>
      <mc:Fallback>
        <control shapeId="39953" r:id="rId36" name="OptionButton17"/>
      </mc:Fallback>
    </mc:AlternateContent>
    <mc:AlternateContent xmlns:mc="http://schemas.openxmlformats.org/markup-compatibility/2006">
      <mc:Choice Requires="x14">
        <control shapeId="39954" r:id="rId38" name="OptionButton18">
          <controlPr defaultSize="0" altText="" r:id="rId39">
            <anchor moveWithCells="1">
              <from>
                <xdr:col>5</xdr:col>
                <xdr:colOff>393700</xdr:colOff>
                <xdr:row>44</xdr:row>
                <xdr:rowOff>0</xdr:rowOff>
              </from>
              <to>
                <xdr:col>5</xdr:col>
                <xdr:colOff>558800</xdr:colOff>
                <xdr:row>44</xdr:row>
                <xdr:rowOff>158750</xdr:rowOff>
              </to>
            </anchor>
          </controlPr>
        </control>
      </mc:Choice>
      <mc:Fallback>
        <control shapeId="39954" r:id="rId38" name="OptionButton18"/>
      </mc:Fallback>
    </mc:AlternateContent>
    <mc:AlternateContent xmlns:mc="http://schemas.openxmlformats.org/markup-compatibility/2006">
      <mc:Choice Requires="x14">
        <control shapeId="39955" r:id="rId40" name="OptionButton19">
          <controlPr defaultSize="0" altText="" r:id="rId41">
            <anchor moveWithCells="1">
              <from>
                <xdr:col>5</xdr:col>
                <xdr:colOff>381000</xdr:colOff>
                <xdr:row>48</xdr:row>
                <xdr:rowOff>69850</xdr:rowOff>
              </from>
              <to>
                <xdr:col>5</xdr:col>
                <xdr:colOff>539750</xdr:colOff>
                <xdr:row>49</xdr:row>
                <xdr:rowOff>38100</xdr:rowOff>
              </to>
            </anchor>
          </controlPr>
        </control>
      </mc:Choice>
      <mc:Fallback>
        <control shapeId="39955" r:id="rId40" name="OptionButton19"/>
      </mc:Fallback>
    </mc:AlternateContent>
    <mc:AlternateContent xmlns:mc="http://schemas.openxmlformats.org/markup-compatibility/2006">
      <mc:Choice Requires="x14">
        <control shapeId="39956" r:id="rId42" name="OptionButton20">
          <controlPr defaultSize="0" altText="" r:id="rId43">
            <anchor moveWithCells="1">
              <from>
                <xdr:col>5</xdr:col>
                <xdr:colOff>381000</xdr:colOff>
                <xdr:row>53</xdr:row>
                <xdr:rowOff>76200</xdr:rowOff>
              </from>
              <to>
                <xdr:col>5</xdr:col>
                <xdr:colOff>539750</xdr:colOff>
                <xdr:row>53</xdr:row>
                <xdr:rowOff>234950</xdr:rowOff>
              </to>
            </anchor>
          </controlPr>
        </control>
      </mc:Choice>
      <mc:Fallback>
        <control shapeId="39956" r:id="rId42" name="OptionButton20"/>
      </mc:Fallback>
    </mc:AlternateContent>
    <mc:AlternateContent xmlns:mc="http://schemas.openxmlformats.org/markup-compatibility/2006">
      <mc:Choice Requires="x14">
        <control shapeId="39957" r:id="rId44" name="OptionButton21">
          <controlPr defaultSize="0" altText="" r:id="rId45">
            <anchor moveWithCells="1">
              <from>
                <xdr:col>1</xdr:col>
                <xdr:colOff>393700</xdr:colOff>
                <xdr:row>61</xdr:row>
                <xdr:rowOff>19050</xdr:rowOff>
              </from>
              <to>
                <xdr:col>1</xdr:col>
                <xdr:colOff>558800</xdr:colOff>
                <xdr:row>61</xdr:row>
                <xdr:rowOff>177800</xdr:rowOff>
              </to>
            </anchor>
          </controlPr>
        </control>
      </mc:Choice>
      <mc:Fallback>
        <control shapeId="39957" r:id="rId44" name="OptionButton21"/>
      </mc:Fallback>
    </mc:AlternateContent>
    <mc:AlternateContent xmlns:mc="http://schemas.openxmlformats.org/markup-compatibility/2006">
      <mc:Choice Requires="x14">
        <control shapeId="39958" r:id="rId46" name="OptionButton22">
          <controlPr defaultSize="0" altText="" r:id="rId47">
            <anchor moveWithCells="1">
              <from>
                <xdr:col>1</xdr:col>
                <xdr:colOff>381000</xdr:colOff>
                <xdr:row>65</xdr:row>
                <xdr:rowOff>152400</xdr:rowOff>
              </from>
              <to>
                <xdr:col>1</xdr:col>
                <xdr:colOff>539750</xdr:colOff>
                <xdr:row>65</xdr:row>
                <xdr:rowOff>311150</xdr:rowOff>
              </to>
            </anchor>
          </controlPr>
        </control>
      </mc:Choice>
      <mc:Fallback>
        <control shapeId="39958" r:id="rId46" name="OptionButton22"/>
      </mc:Fallback>
    </mc:AlternateContent>
    <mc:AlternateContent xmlns:mc="http://schemas.openxmlformats.org/markup-compatibility/2006">
      <mc:Choice Requires="x14">
        <control shapeId="39959" r:id="rId48" name="OptionButton23">
          <controlPr defaultSize="0" altText="" r:id="rId49">
            <anchor moveWithCells="1">
              <from>
                <xdr:col>1</xdr:col>
                <xdr:colOff>374650</xdr:colOff>
                <xdr:row>70</xdr:row>
                <xdr:rowOff>19050</xdr:rowOff>
              </from>
              <to>
                <xdr:col>1</xdr:col>
                <xdr:colOff>533400</xdr:colOff>
                <xdr:row>70</xdr:row>
                <xdr:rowOff>177800</xdr:rowOff>
              </to>
            </anchor>
          </controlPr>
        </control>
      </mc:Choice>
      <mc:Fallback>
        <control shapeId="39959" r:id="rId48" name="OptionButton23"/>
      </mc:Fallback>
    </mc:AlternateContent>
    <mc:AlternateContent xmlns:mc="http://schemas.openxmlformats.org/markup-compatibility/2006">
      <mc:Choice Requires="x14">
        <control shapeId="39960" r:id="rId50" name="OptionButton24">
          <controlPr defaultSize="0" altText="" r:id="rId51">
            <anchor moveWithCells="1">
              <from>
                <xdr:col>1</xdr:col>
                <xdr:colOff>361950</xdr:colOff>
                <xdr:row>73</xdr:row>
                <xdr:rowOff>57150</xdr:rowOff>
              </from>
              <to>
                <xdr:col>1</xdr:col>
                <xdr:colOff>520700</xdr:colOff>
                <xdr:row>73</xdr:row>
                <xdr:rowOff>215900</xdr:rowOff>
              </to>
            </anchor>
          </controlPr>
        </control>
      </mc:Choice>
      <mc:Fallback>
        <control shapeId="39960" r:id="rId50" name="OptionButton24"/>
      </mc:Fallback>
    </mc:AlternateContent>
    <mc:AlternateContent xmlns:mc="http://schemas.openxmlformats.org/markup-compatibility/2006">
      <mc:Choice Requires="x14">
        <control shapeId="39961" r:id="rId52" name="OptionButton25">
          <controlPr defaultSize="0" altText="" r:id="rId53">
            <anchor moveWithCells="1">
              <from>
                <xdr:col>1</xdr:col>
                <xdr:colOff>355600</xdr:colOff>
                <xdr:row>77</xdr:row>
                <xdr:rowOff>38100</xdr:rowOff>
              </from>
              <to>
                <xdr:col>1</xdr:col>
                <xdr:colOff>520700</xdr:colOff>
                <xdr:row>77</xdr:row>
                <xdr:rowOff>196850</xdr:rowOff>
              </to>
            </anchor>
          </controlPr>
        </control>
      </mc:Choice>
      <mc:Fallback>
        <control shapeId="39961" r:id="rId52" name="OptionButton25"/>
      </mc:Fallback>
    </mc:AlternateContent>
    <mc:AlternateContent xmlns:mc="http://schemas.openxmlformats.org/markup-compatibility/2006">
      <mc:Choice Requires="x14">
        <control shapeId="39962" r:id="rId54" name="OptionButton26">
          <controlPr defaultSize="0" altText="" r:id="rId55">
            <anchor moveWithCells="1">
              <from>
                <xdr:col>5</xdr:col>
                <xdr:colOff>355600</xdr:colOff>
                <xdr:row>61</xdr:row>
                <xdr:rowOff>31750</xdr:rowOff>
              </from>
              <to>
                <xdr:col>5</xdr:col>
                <xdr:colOff>520700</xdr:colOff>
                <xdr:row>61</xdr:row>
                <xdr:rowOff>190500</xdr:rowOff>
              </to>
            </anchor>
          </controlPr>
        </control>
      </mc:Choice>
      <mc:Fallback>
        <control shapeId="39962" r:id="rId54" name="OptionButton26"/>
      </mc:Fallback>
    </mc:AlternateContent>
    <mc:AlternateContent xmlns:mc="http://schemas.openxmlformats.org/markup-compatibility/2006">
      <mc:Choice Requires="x14">
        <control shapeId="39963" r:id="rId56" name="OptionButton27">
          <controlPr defaultSize="0" altText="" r:id="rId57">
            <anchor moveWithCells="1">
              <from>
                <xdr:col>5</xdr:col>
                <xdr:colOff>381000</xdr:colOff>
                <xdr:row>65</xdr:row>
                <xdr:rowOff>127000</xdr:rowOff>
              </from>
              <to>
                <xdr:col>5</xdr:col>
                <xdr:colOff>539750</xdr:colOff>
                <xdr:row>65</xdr:row>
                <xdr:rowOff>292100</xdr:rowOff>
              </to>
            </anchor>
          </controlPr>
        </control>
      </mc:Choice>
      <mc:Fallback>
        <control shapeId="39963" r:id="rId56" name="OptionButton27"/>
      </mc:Fallback>
    </mc:AlternateContent>
    <mc:AlternateContent xmlns:mc="http://schemas.openxmlformats.org/markup-compatibility/2006">
      <mc:Choice Requires="x14">
        <control shapeId="39964" r:id="rId58" name="OptionButton28">
          <controlPr defaultSize="0" altText="" r:id="rId59">
            <anchor moveWithCells="1">
              <from>
                <xdr:col>5</xdr:col>
                <xdr:colOff>393700</xdr:colOff>
                <xdr:row>71</xdr:row>
                <xdr:rowOff>0</xdr:rowOff>
              </from>
              <to>
                <xdr:col>5</xdr:col>
                <xdr:colOff>571500</xdr:colOff>
                <xdr:row>71</xdr:row>
                <xdr:rowOff>158750</xdr:rowOff>
              </to>
            </anchor>
          </controlPr>
        </control>
      </mc:Choice>
      <mc:Fallback>
        <control shapeId="39964" r:id="rId58" name="OptionButton28"/>
      </mc:Fallback>
    </mc:AlternateContent>
    <mc:AlternateContent xmlns:mc="http://schemas.openxmlformats.org/markup-compatibility/2006">
      <mc:Choice Requires="x14">
        <control shapeId="39965" r:id="rId60" name="OptionButton29">
          <controlPr defaultSize="0" altText="" r:id="rId61">
            <anchor moveWithCells="1">
              <from>
                <xdr:col>5</xdr:col>
                <xdr:colOff>381000</xdr:colOff>
                <xdr:row>73</xdr:row>
                <xdr:rowOff>69850</xdr:rowOff>
              </from>
              <to>
                <xdr:col>5</xdr:col>
                <xdr:colOff>539750</xdr:colOff>
                <xdr:row>73</xdr:row>
                <xdr:rowOff>228600</xdr:rowOff>
              </to>
            </anchor>
          </controlPr>
        </control>
      </mc:Choice>
      <mc:Fallback>
        <control shapeId="39965" r:id="rId60" name="OptionButton29"/>
      </mc:Fallback>
    </mc:AlternateContent>
    <mc:AlternateContent xmlns:mc="http://schemas.openxmlformats.org/markup-compatibility/2006">
      <mc:Choice Requires="x14">
        <control shapeId="39966" r:id="rId62" name="OptionButton30">
          <controlPr defaultSize="0" altText="" r:id="rId63">
            <anchor moveWithCells="1">
              <from>
                <xdr:col>5</xdr:col>
                <xdr:colOff>381000</xdr:colOff>
                <xdr:row>77</xdr:row>
                <xdr:rowOff>76200</xdr:rowOff>
              </from>
              <to>
                <xdr:col>5</xdr:col>
                <xdr:colOff>539750</xdr:colOff>
                <xdr:row>77</xdr:row>
                <xdr:rowOff>234950</xdr:rowOff>
              </to>
            </anchor>
          </controlPr>
        </control>
      </mc:Choice>
      <mc:Fallback>
        <control shapeId="39966" r:id="rId62" name="OptionButton30"/>
      </mc:Fallback>
    </mc:AlternateContent>
    <mc:AlternateContent xmlns:mc="http://schemas.openxmlformats.org/markup-compatibility/2006">
      <mc:Choice Requires="x14">
        <control shapeId="39967" r:id="rId64" name="OptionButton31">
          <controlPr defaultSize="0" altText="" r:id="rId65">
            <anchor moveWithCells="1">
              <from>
                <xdr:col>1</xdr:col>
                <xdr:colOff>393700</xdr:colOff>
                <xdr:row>83</xdr:row>
                <xdr:rowOff>0</xdr:rowOff>
              </from>
              <to>
                <xdr:col>1</xdr:col>
                <xdr:colOff>571500</xdr:colOff>
                <xdr:row>83</xdr:row>
                <xdr:rowOff>158750</xdr:rowOff>
              </to>
            </anchor>
          </controlPr>
        </control>
      </mc:Choice>
      <mc:Fallback>
        <control shapeId="39967" r:id="rId64" name="OptionButton31"/>
      </mc:Fallback>
    </mc:AlternateContent>
    <mc:AlternateContent xmlns:mc="http://schemas.openxmlformats.org/markup-compatibility/2006">
      <mc:Choice Requires="x14">
        <control shapeId="39968" r:id="rId66" name="OptionButton32">
          <controlPr defaultSize="0" altText="" r:id="rId67">
            <anchor moveWithCells="1">
              <from>
                <xdr:col>1</xdr:col>
                <xdr:colOff>381000</xdr:colOff>
                <xdr:row>83</xdr:row>
                <xdr:rowOff>0</xdr:rowOff>
              </from>
              <to>
                <xdr:col>1</xdr:col>
                <xdr:colOff>539750</xdr:colOff>
                <xdr:row>83</xdr:row>
                <xdr:rowOff>158750</xdr:rowOff>
              </to>
            </anchor>
          </controlPr>
        </control>
      </mc:Choice>
      <mc:Fallback>
        <control shapeId="39968" r:id="rId66" name="OptionButton32"/>
      </mc:Fallback>
    </mc:AlternateContent>
    <mc:AlternateContent xmlns:mc="http://schemas.openxmlformats.org/markup-compatibility/2006">
      <mc:Choice Requires="x14">
        <control shapeId="39969" r:id="rId68" name="OptionButton33">
          <controlPr defaultSize="0" altText="" r:id="rId69">
            <anchor moveWithCells="1">
              <from>
                <xdr:col>1</xdr:col>
                <xdr:colOff>374650</xdr:colOff>
                <xdr:row>83</xdr:row>
                <xdr:rowOff>0</xdr:rowOff>
              </from>
              <to>
                <xdr:col>1</xdr:col>
                <xdr:colOff>533400</xdr:colOff>
                <xdr:row>83</xdr:row>
                <xdr:rowOff>158750</xdr:rowOff>
              </to>
            </anchor>
          </controlPr>
        </control>
      </mc:Choice>
      <mc:Fallback>
        <control shapeId="39969" r:id="rId68" name="OptionButton33"/>
      </mc:Fallback>
    </mc:AlternateContent>
    <mc:AlternateContent xmlns:mc="http://schemas.openxmlformats.org/markup-compatibility/2006">
      <mc:Choice Requires="x14">
        <control shapeId="39970" r:id="rId70" name="OptionButton34">
          <controlPr defaultSize="0" altText="" r:id="rId71">
            <anchor moveWithCells="1">
              <from>
                <xdr:col>1</xdr:col>
                <xdr:colOff>361950</xdr:colOff>
                <xdr:row>83</xdr:row>
                <xdr:rowOff>0</xdr:rowOff>
              </from>
              <to>
                <xdr:col>1</xdr:col>
                <xdr:colOff>527050</xdr:colOff>
                <xdr:row>83</xdr:row>
                <xdr:rowOff>158750</xdr:rowOff>
              </to>
            </anchor>
          </controlPr>
        </control>
      </mc:Choice>
      <mc:Fallback>
        <control shapeId="39970" r:id="rId70" name="OptionButton34"/>
      </mc:Fallback>
    </mc:AlternateContent>
    <mc:AlternateContent xmlns:mc="http://schemas.openxmlformats.org/markup-compatibility/2006">
      <mc:Choice Requires="x14">
        <control shapeId="39971" r:id="rId72" name="OptionButton35">
          <controlPr defaultSize="0" altText="" r:id="rId73">
            <anchor moveWithCells="1">
              <from>
                <xdr:col>1</xdr:col>
                <xdr:colOff>355600</xdr:colOff>
                <xdr:row>83</xdr:row>
                <xdr:rowOff>0</xdr:rowOff>
              </from>
              <to>
                <xdr:col>1</xdr:col>
                <xdr:colOff>520700</xdr:colOff>
                <xdr:row>83</xdr:row>
                <xdr:rowOff>158750</xdr:rowOff>
              </to>
            </anchor>
          </controlPr>
        </control>
      </mc:Choice>
      <mc:Fallback>
        <control shapeId="39971" r:id="rId72" name="OptionButton35"/>
      </mc:Fallback>
    </mc:AlternateContent>
    <mc:AlternateContent xmlns:mc="http://schemas.openxmlformats.org/markup-compatibility/2006">
      <mc:Choice Requires="x14">
        <control shapeId="39972" r:id="rId74" name="OptionButton36">
          <controlPr defaultSize="0" altText="" r:id="rId75">
            <anchor moveWithCells="1">
              <from>
                <xdr:col>5</xdr:col>
                <xdr:colOff>355600</xdr:colOff>
                <xdr:row>83</xdr:row>
                <xdr:rowOff>0</xdr:rowOff>
              </from>
              <to>
                <xdr:col>5</xdr:col>
                <xdr:colOff>520700</xdr:colOff>
                <xdr:row>83</xdr:row>
                <xdr:rowOff>158750</xdr:rowOff>
              </to>
            </anchor>
          </controlPr>
        </control>
      </mc:Choice>
      <mc:Fallback>
        <control shapeId="39972" r:id="rId74" name="OptionButton36"/>
      </mc:Fallback>
    </mc:AlternateContent>
    <mc:AlternateContent xmlns:mc="http://schemas.openxmlformats.org/markup-compatibility/2006">
      <mc:Choice Requires="x14">
        <control shapeId="39973" r:id="rId76" name="OptionButton37">
          <controlPr defaultSize="0" altText="" r:id="rId77">
            <anchor moveWithCells="1">
              <from>
                <xdr:col>5</xdr:col>
                <xdr:colOff>381000</xdr:colOff>
                <xdr:row>83</xdr:row>
                <xdr:rowOff>0</xdr:rowOff>
              </from>
              <to>
                <xdr:col>5</xdr:col>
                <xdr:colOff>539750</xdr:colOff>
                <xdr:row>83</xdr:row>
                <xdr:rowOff>158750</xdr:rowOff>
              </to>
            </anchor>
          </controlPr>
        </control>
      </mc:Choice>
      <mc:Fallback>
        <control shapeId="39973" r:id="rId76" name="OptionButton37"/>
      </mc:Fallback>
    </mc:AlternateContent>
    <mc:AlternateContent xmlns:mc="http://schemas.openxmlformats.org/markup-compatibility/2006">
      <mc:Choice Requires="x14">
        <control shapeId="39974" r:id="rId78" name="OptionButton38">
          <controlPr defaultSize="0" altText="" r:id="rId79">
            <anchor moveWithCells="1">
              <from>
                <xdr:col>5</xdr:col>
                <xdr:colOff>393700</xdr:colOff>
                <xdr:row>83</xdr:row>
                <xdr:rowOff>0</xdr:rowOff>
              </from>
              <to>
                <xdr:col>5</xdr:col>
                <xdr:colOff>571500</xdr:colOff>
                <xdr:row>83</xdr:row>
                <xdr:rowOff>158750</xdr:rowOff>
              </to>
            </anchor>
          </controlPr>
        </control>
      </mc:Choice>
      <mc:Fallback>
        <control shapeId="39974" r:id="rId78" name="OptionButton38"/>
      </mc:Fallback>
    </mc:AlternateContent>
    <mc:AlternateContent xmlns:mc="http://schemas.openxmlformats.org/markup-compatibility/2006">
      <mc:Choice Requires="x14">
        <control shapeId="39975" r:id="rId80" name="OptionButton39">
          <controlPr defaultSize="0" altText="" r:id="rId81">
            <anchor moveWithCells="1">
              <from>
                <xdr:col>5</xdr:col>
                <xdr:colOff>381000</xdr:colOff>
                <xdr:row>83</xdr:row>
                <xdr:rowOff>0</xdr:rowOff>
              </from>
              <to>
                <xdr:col>5</xdr:col>
                <xdr:colOff>539750</xdr:colOff>
                <xdr:row>83</xdr:row>
                <xdr:rowOff>158750</xdr:rowOff>
              </to>
            </anchor>
          </controlPr>
        </control>
      </mc:Choice>
      <mc:Fallback>
        <control shapeId="39975" r:id="rId80" name="OptionButton39"/>
      </mc:Fallback>
    </mc:AlternateContent>
    <mc:AlternateContent xmlns:mc="http://schemas.openxmlformats.org/markup-compatibility/2006">
      <mc:Choice Requires="x14">
        <control shapeId="39976" r:id="rId82" name="OptionButton40">
          <controlPr defaultSize="0" altText="" r:id="rId83">
            <anchor moveWithCells="1">
              <from>
                <xdr:col>5</xdr:col>
                <xdr:colOff>381000</xdr:colOff>
                <xdr:row>83</xdr:row>
                <xdr:rowOff>0</xdr:rowOff>
              </from>
              <to>
                <xdr:col>5</xdr:col>
                <xdr:colOff>539750</xdr:colOff>
                <xdr:row>83</xdr:row>
                <xdr:rowOff>177800</xdr:rowOff>
              </to>
            </anchor>
          </controlPr>
        </control>
      </mc:Choice>
      <mc:Fallback>
        <control shapeId="39976" r:id="rId82" name="OptionButton40"/>
      </mc:Fallback>
    </mc:AlternateContent>
    <mc:AlternateContent xmlns:mc="http://schemas.openxmlformats.org/markup-compatibility/2006">
      <mc:Choice Requires="x14">
        <control shapeId="39977" r:id="rId84" name="OptionButton41">
          <controlPr defaultSize="0" altText="" r:id="rId85">
            <anchor moveWithCells="1">
              <from>
                <xdr:col>1</xdr:col>
                <xdr:colOff>393700</xdr:colOff>
                <xdr:row>83</xdr:row>
                <xdr:rowOff>0</xdr:rowOff>
              </from>
              <to>
                <xdr:col>1</xdr:col>
                <xdr:colOff>571500</xdr:colOff>
                <xdr:row>83</xdr:row>
                <xdr:rowOff>158750</xdr:rowOff>
              </to>
            </anchor>
          </controlPr>
        </control>
      </mc:Choice>
      <mc:Fallback>
        <control shapeId="39977" r:id="rId84" name="OptionButton41"/>
      </mc:Fallback>
    </mc:AlternateContent>
    <mc:AlternateContent xmlns:mc="http://schemas.openxmlformats.org/markup-compatibility/2006">
      <mc:Choice Requires="x14">
        <control shapeId="39978" r:id="rId86" name="OptionButton42">
          <controlPr defaultSize="0" altText="" r:id="rId87">
            <anchor moveWithCells="1">
              <from>
                <xdr:col>1</xdr:col>
                <xdr:colOff>381000</xdr:colOff>
                <xdr:row>83</xdr:row>
                <xdr:rowOff>0</xdr:rowOff>
              </from>
              <to>
                <xdr:col>1</xdr:col>
                <xdr:colOff>539750</xdr:colOff>
                <xdr:row>83</xdr:row>
                <xdr:rowOff>158750</xdr:rowOff>
              </to>
            </anchor>
          </controlPr>
        </control>
      </mc:Choice>
      <mc:Fallback>
        <control shapeId="39978" r:id="rId86" name="OptionButton42"/>
      </mc:Fallback>
    </mc:AlternateContent>
    <mc:AlternateContent xmlns:mc="http://schemas.openxmlformats.org/markup-compatibility/2006">
      <mc:Choice Requires="x14">
        <control shapeId="39979" r:id="rId88" name="OptionButton43">
          <controlPr defaultSize="0" altText="" r:id="rId89">
            <anchor moveWithCells="1">
              <from>
                <xdr:col>1</xdr:col>
                <xdr:colOff>374650</xdr:colOff>
                <xdr:row>83</xdr:row>
                <xdr:rowOff>0</xdr:rowOff>
              </from>
              <to>
                <xdr:col>1</xdr:col>
                <xdr:colOff>533400</xdr:colOff>
                <xdr:row>83</xdr:row>
                <xdr:rowOff>158750</xdr:rowOff>
              </to>
            </anchor>
          </controlPr>
        </control>
      </mc:Choice>
      <mc:Fallback>
        <control shapeId="39979" r:id="rId88" name="OptionButton43"/>
      </mc:Fallback>
    </mc:AlternateContent>
    <mc:AlternateContent xmlns:mc="http://schemas.openxmlformats.org/markup-compatibility/2006">
      <mc:Choice Requires="x14">
        <control shapeId="39980" r:id="rId90" name="OptionButton44">
          <controlPr defaultSize="0" altText="" r:id="rId91">
            <anchor moveWithCells="1">
              <from>
                <xdr:col>1</xdr:col>
                <xdr:colOff>361950</xdr:colOff>
                <xdr:row>83</xdr:row>
                <xdr:rowOff>0</xdr:rowOff>
              </from>
              <to>
                <xdr:col>1</xdr:col>
                <xdr:colOff>527050</xdr:colOff>
                <xdr:row>83</xdr:row>
                <xdr:rowOff>158750</xdr:rowOff>
              </to>
            </anchor>
          </controlPr>
        </control>
      </mc:Choice>
      <mc:Fallback>
        <control shapeId="39980" r:id="rId90" name="OptionButton44"/>
      </mc:Fallback>
    </mc:AlternateContent>
    <mc:AlternateContent xmlns:mc="http://schemas.openxmlformats.org/markup-compatibility/2006">
      <mc:Choice Requires="x14">
        <control shapeId="39981" r:id="rId92" name="OptionButton45">
          <controlPr defaultSize="0" altText="" r:id="rId93">
            <anchor moveWithCells="1">
              <from>
                <xdr:col>1</xdr:col>
                <xdr:colOff>355600</xdr:colOff>
                <xdr:row>83</xdr:row>
                <xdr:rowOff>0</xdr:rowOff>
              </from>
              <to>
                <xdr:col>1</xdr:col>
                <xdr:colOff>520700</xdr:colOff>
                <xdr:row>83</xdr:row>
                <xdr:rowOff>158750</xdr:rowOff>
              </to>
            </anchor>
          </controlPr>
        </control>
      </mc:Choice>
      <mc:Fallback>
        <control shapeId="39981" r:id="rId92" name="OptionButton45"/>
      </mc:Fallback>
    </mc:AlternateContent>
    <mc:AlternateContent xmlns:mc="http://schemas.openxmlformats.org/markup-compatibility/2006">
      <mc:Choice Requires="x14">
        <control shapeId="39982" r:id="rId94" name="OptionButton46">
          <controlPr defaultSize="0" altText="" r:id="rId95">
            <anchor moveWithCells="1">
              <from>
                <xdr:col>5</xdr:col>
                <xdr:colOff>355600</xdr:colOff>
                <xdr:row>83</xdr:row>
                <xdr:rowOff>0</xdr:rowOff>
              </from>
              <to>
                <xdr:col>5</xdr:col>
                <xdr:colOff>520700</xdr:colOff>
                <xdr:row>83</xdr:row>
                <xdr:rowOff>158750</xdr:rowOff>
              </to>
            </anchor>
          </controlPr>
        </control>
      </mc:Choice>
      <mc:Fallback>
        <control shapeId="39982" r:id="rId94" name="OptionButton46"/>
      </mc:Fallback>
    </mc:AlternateContent>
    <mc:AlternateContent xmlns:mc="http://schemas.openxmlformats.org/markup-compatibility/2006">
      <mc:Choice Requires="x14">
        <control shapeId="39983" r:id="rId96" name="OptionButton47">
          <controlPr defaultSize="0" altText="" r:id="rId97">
            <anchor moveWithCells="1">
              <from>
                <xdr:col>5</xdr:col>
                <xdr:colOff>381000</xdr:colOff>
                <xdr:row>83</xdr:row>
                <xdr:rowOff>0</xdr:rowOff>
              </from>
              <to>
                <xdr:col>5</xdr:col>
                <xdr:colOff>539750</xdr:colOff>
                <xdr:row>83</xdr:row>
                <xdr:rowOff>158750</xdr:rowOff>
              </to>
            </anchor>
          </controlPr>
        </control>
      </mc:Choice>
      <mc:Fallback>
        <control shapeId="39983" r:id="rId96" name="OptionButton47"/>
      </mc:Fallback>
    </mc:AlternateContent>
    <mc:AlternateContent xmlns:mc="http://schemas.openxmlformats.org/markup-compatibility/2006">
      <mc:Choice Requires="x14">
        <control shapeId="39984" r:id="rId98" name="OptionButton48">
          <controlPr defaultSize="0" altText="" r:id="rId99">
            <anchor moveWithCells="1">
              <from>
                <xdr:col>5</xdr:col>
                <xdr:colOff>393700</xdr:colOff>
                <xdr:row>83</xdr:row>
                <xdr:rowOff>0</xdr:rowOff>
              </from>
              <to>
                <xdr:col>5</xdr:col>
                <xdr:colOff>571500</xdr:colOff>
                <xdr:row>83</xdr:row>
                <xdr:rowOff>158750</xdr:rowOff>
              </to>
            </anchor>
          </controlPr>
        </control>
      </mc:Choice>
      <mc:Fallback>
        <control shapeId="39984" r:id="rId98" name="OptionButton48"/>
      </mc:Fallback>
    </mc:AlternateContent>
    <mc:AlternateContent xmlns:mc="http://schemas.openxmlformats.org/markup-compatibility/2006">
      <mc:Choice Requires="x14">
        <control shapeId="39985" r:id="rId100" name="OptionButton49">
          <controlPr defaultSize="0" altText="" r:id="rId101">
            <anchor moveWithCells="1">
              <from>
                <xdr:col>5</xdr:col>
                <xdr:colOff>381000</xdr:colOff>
                <xdr:row>83</xdr:row>
                <xdr:rowOff>0</xdr:rowOff>
              </from>
              <to>
                <xdr:col>5</xdr:col>
                <xdr:colOff>539750</xdr:colOff>
                <xdr:row>83</xdr:row>
                <xdr:rowOff>158750</xdr:rowOff>
              </to>
            </anchor>
          </controlPr>
        </control>
      </mc:Choice>
      <mc:Fallback>
        <control shapeId="39985" r:id="rId100" name="OptionButton49"/>
      </mc:Fallback>
    </mc:AlternateContent>
    <mc:AlternateContent xmlns:mc="http://schemas.openxmlformats.org/markup-compatibility/2006">
      <mc:Choice Requires="x14">
        <control shapeId="39986" r:id="rId102" name="OptionButton50">
          <controlPr defaultSize="0" altText="" r:id="rId103">
            <anchor moveWithCells="1">
              <from>
                <xdr:col>5</xdr:col>
                <xdr:colOff>381000</xdr:colOff>
                <xdr:row>83</xdr:row>
                <xdr:rowOff>0</xdr:rowOff>
              </from>
              <to>
                <xdr:col>5</xdr:col>
                <xdr:colOff>539750</xdr:colOff>
                <xdr:row>83</xdr:row>
                <xdr:rowOff>177800</xdr:rowOff>
              </to>
            </anchor>
          </controlPr>
        </control>
      </mc:Choice>
      <mc:Fallback>
        <control shapeId="39986" r:id="rId102" name="OptionButton50"/>
      </mc:Fallback>
    </mc:AlternateContent>
    <mc:AlternateContent xmlns:mc="http://schemas.openxmlformats.org/markup-compatibility/2006">
      <mc:Choice Requires="x14">
        <control shapeId="39987" r:id="rId104" name="OptionButton51">
          <controlPr defaultSize="0" altText="" r:id="rId105">
            <anchor moveWithCells="1">
              <from>
                <xdr:col>1</xdr:col>
                <xdr:colOff>393700</xdr:colOff>
                <xdr:row>84</xdr:row>
                <xdr:rowOff>19050</xdr:rowOff>
              </from>
              <to>
                <xdr:col>1</xdr:col>
                <xdr:colOff>558800</xdr:colOff>
                <xdr:row>84</xdr:row>
                <xdr:rowOff>177800</xdr:rowOff>
              </to>
            </anchor>
          </controlPr>
        </control>
      </mc:Choice>
      <mc:Fallback>
        <control shapeId="39987" r:id="rId104" name="OptionButton51"/>
      </mc:Fallback>
    </mc:AlternateContent>
    <mc:AlternateContent xmlns:mc="http://schemas.openxmlformats.org/markup-compatibility/2006">
      <mc:Choice Requires="x14">
        <control shapeId="39988" r:id="rId106" name="OptionButton52">
          <controlPr defaultSize="0" altText="" r:id="rId107">
            <anchor moveWithCells="1">
              <from>
                <xdr:col>1</xdr:col>
                <xdr:colOff>381000</xdr:colOff>
                <xdr:row>88</xdr:row>
                <xdr:rowOff>152400</xdr:rowOff>
              </from>
              <to>
                <xdr:col>1</xdr:col>
                <xdr:colOff>539750</xdr:colOff>
                <xdr:row>89</xdr:row>
                <xdr:rowOff>127000</xdr:rowOff>
              </to>
            </anchor>
          </controlPr>
        </control>
      </mc:Choice>
      <mc:Fallback>
        <control shapeId="39988" r:id="rId106" name="OptionButton52"/>
      </mc:Fallback>
    </mc:AlternateContent>
    <mc:AlternateContent xmlns:mc="http://schemas.openxmlformats.org/markup-compatibility/2006">
      <mc:Choice Requires="x14">
        <control shapeId="39989" r:id="rId108" name="OptionButton53">
          <controlPr defaultSize="0" altText="" r:id="rId109">
            <anchor moveWithCells="1">
              <from>
                <xdr:col>1</xdr:col>
                <xdr:colOff>374650</xdr:colOff>
                <xdr:row>94</xdr:row>
                <xdr:rowOff>19050</xdr:rowOff>
              </from>
              <to>
                <xdr:col>1</xdr:col>
                <xdr:colOff>533400</xdr:colOff>
                <xdr:row>94</xdr:row>
                <xdr:rowOff>177800</xdr:rowOff>
              </to>
            </anchor>
          </controlPr>
        </control>
      </mc:Choice>
      <mc:Fallback>
        <control shapeId="39989" r:id="rId108" name="OptionButton53"/>
      </mc:Fallback>
    </mc:AlternateContent>
    <mc:AlternateContent xmlns:mc="http://schemas.openxmlformats.org/markup-compatibility/2006">
      <mc:Choice Requires="x14">
        <control shapeId="39990" r:id="rId110" name="OptionButton54">
          <controlPr defaultSize="0" altText="" r:id="rId111">
            <anchor moveWithCells="1">
              <from>
                <xdr:col>1</xdr:col>
                <xdr:colOff>361950</xdr:colOff>
                <xdr:row>98</xdr:row>
                <xdr:rowOff>57150</xdr:rowOff>
              </from>
              <to>
                <xdr:col>1</xdr:col>
                <xdr:colOff>520700</xdr:colOff>
                <xdr:row>98</xdr:row>
                <xdr:rowOff>215900</xdr:rowOff>
              </to>
            </anchor>
          </controlPr>
        </control>
      </mc:Choice>
      <mc:Fallback>
        <control shapeId="39990" r:id="rId110" name="OptionButton54"/>
      </mc:Fallback>
    </mc:AlternateContent>
    <mc:AlternateContent xmlns:mc="http://schemas.openxmlformats.org/markup-compatibility/2006">
      <mc:Choice Requires="x14">
        <control shapeId="39991" r:id="rId112" name="OptionButton55">
          <controlPr defaultSize="0" altText="" r:id="rId113">
            <anchor moveWithCells="1">
              <from>
                <xdr:col>1</xdr:col>
                <xdr:colOff>355600</xdr:colOff>
                <xdr:row>103</xdr:row>
                <xdr:rowOff>38100</xdr:rowOff>
              </from>
              <to>
                <xdr:col>1</xdr:col>
                <xdr:colOff>520700</xdr:colOff>
                <xdr:row>103</xdr:row>
                <xdr:rowOff>196850</xdr:rowOff>
              </to>
            </anchor>
          </controlPr>
        </control>
      </mc:Choice>
      <mc:Fallback>
        <control shapeId="39991" r:id="rId112" name="OptionButton55"/>
      </mc:Fallback>
    </mc:AlternateContent>
    <mc:AlternateContent xmlns:mc="http://schemas.openxmlformats.org/markup-compatibility/2006">
      <mc:Choice Requires="x14">
        <control shapeId="39992" r:id="rId114" name="OptionButton56">
          <controlPr defaultSize="0" altText="" r:id="rId115">
            <anchor moveWithCells="1">
              <from>
                <xdr:col>5</xdr:col>
                <xdr:colOff>355600</xdr:colOff>
                <xdr:row>84</xdr:row>
                <xdr:rowOff>31750</xdr:rowOff>
              </from>
              <to>
                <xdr:col>5</xdr:col>
                <xdr:colOff>520700</xdr:colOff>
                <xdr:row>84</xdr:row>
                <xdr:rowOff>190500</xdr:rowOff>
              </to>
            </anchor>
          </controlPr>
        </control>
      </mc:Choice>
      <mc:Fallback>
        <control shapeId="39992" r:id="rId114" name="OptionButton56"/>
      </mc:Fallback>
    </mc:AlternateContent>
    <mc:AlternateContent xmlns:mc="http://schemas.openxmlformats.org/markup-compatibility/2006">
      <mc:Choice Requires="x14">
        <control shapeId="39993" r:id="rId116" name="OptionButton57">
          <controlPr defaultSize="0" altText="" r:id="rId117">
            <anchor moveWithCells="1">
              <from>
                <xdr:col>5</xdr:col>
                <xdr:colOff>381000</xdr:colOff>
                <xdr:row>88</xdr:row>
                <xdr:rowOff>127000</xdr:rowOff>
              </from>
              <to>
                <xdr:col>5</xdr:col>
                <xdr:colOff>539750</xdr:colOff>
                <xdr:row>89</xdr:row>
                <xdr:rowOff>107950</xdr:rowOff>
              </to>
            </anchor>
          </controlPr>
        </control>
      </mc:Choice>
      <mc:Fallback>
        <control shapeId="39993" r:id="rId116" name="OptionButton57"/>
      </mc:Fallback>
    </mc:AlternateContent>
    <mc:AlternateContent xmlns:mc="http://schemas.openxmlformats.org/markup-compatibility/2006">
      <mc:Choice Requires="x14">
        <control shapeId="39994" r:id="rId118" name="OptionButton58">
          <controlPr defaultSize="0" altText="" r:id="rId119">
            <anchor moveWithCells="1">
              <from>
                <xdr:col>5</xdr:col>
                <xdr:colOff>393700</xdr:colOff>
                <xdr:row>94</xdr:row>
                <xdr:rowOff>0</xdr:rowOff>
              </from>
              <to>
                <xdr:col>5</xdr:col>
                <xdr:colOff>558800</xdr:colOff>
                <xdr:row>94</xdr:row>
                <xdr:rowOff>158750</xdr:rowOff>
              </to>
            </anchor>
          </controlPr>
        </control>
      </mc:Choice>
      <mc:Fallback>
        <control shapeId="39994" r:id="rId118" name="OptionButton58"/>
      </mc:Fallback>
    </mc:AlternateContent>
    <mc:AlternateContent xmlns:mc="http://schemas.openxmlformats.org/markup-compatibility/2006">
      <mc:Choice Requires="x14">
        <control shapeId="39995" r:id="rId120" name="OptionButton59">
          <controlPr defaultSize="0" altText="" r:id="rId121">
            <anchor moveWithCells="1">
              <from>
                <xdr:col>5</xdr:col>
                <xdr:colOff>381000</xdr:colOff>
                <xdr:row>98</xdr:row>
                <xdr:rowOff>69850</xdr:rowOff>
              </from>
              <to>
                <xdr:col>5</xdr:col>
                <xdr:colOff>539750</xdr:colOff>
                <xdr:row>98</xdr:row>
                <xdr:rowOff>228600</xdr:rowOff>
              </to>
            </anchor>
          </controlPr>
        </control>
      </mc:Choice>
      <mc:Fallback>
        <control shapeId="39995" r:id="rId120" name="OptionButton59"/>
      </mc:Fallback>
    </mc:AlternateContent>
    <mc:AlternateContent xmlns:mc="http://schemas.openxmlformats.org/markup-compatibility/2006">
      <mc:Choice Requires="x14">
        <control shapeId="39996" r:id="rId122" name="OptionButton60">
          <controlPr defaultSize="0" altText="" r:id="rId123">
            <anchor moveWithCells="1">
              <from>
                <xdr:col>5</xdr:col>
                <xdr:colOff>381000</xdr:colOff>
                <xdr:row>103</xdr:row>
                <xdr:rowOff>76200</xdr:rowOff>
              </from>
              <to>
                <xdr:col>5</xdr:col>
                <xdr:colOff>539750</xdr:colOff>
                <xdr:row>103</xdr:row>
                <xdr:rowOff>234950</xdr:rowOff>
              </to>
            </anchor>
          </controlPr>
        </control>
      </mc:Choice>
      <mc:Fallback>
        <control shapeId="39996" r:id="rId122" name="OptionButton60"/>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U6"/>
  <sheetViews>
    <sheetView topLeftCell="CG1" workbookViewId="0">
      <selection activeCell="CQ16" sqref="CQ16"/>
    </sheetView>
  </sheetViews>
  <sheetFormatPr defaultColWidth="9" defaultRowHeight="14.5"/>
  <cols>
    <col min="1" max="1" width="4.26953125" customWidth="1"/>
    <col min="2" max="3" width="2" customWidth="1"/>
    <col min="4" max="4" width="2.1796875" customWidth="1"/>
    <col min="5" max="11" width="3" customWidth="1"/>
    <col min="12" max="12" width="26.453125" customWidth="1"/>
    <col min="13" max="13" width="39.453125" customWidth="1"/>
    <col min="14" max="14" width="5" customWidth="1"/>
    <col min="15" max="19" width="3" customWidth="1"/>
    <col min="20" max="20" width="20.7265625" customWidth="1"/>
    <col min="21" max="21" width="33.81640625" customWidth="1"/>
    <col min="22" max="22" width="4.7265625" customWidth="1"/>
    <col min="23" max="28" width="3" customWidth="1"/>
    <col min="29" max="29" width="17.1796875" customWidth="1"/>
    <col min="30" max="30" width="17.7265625" customWidth="1"/>
    <col min="31" max="31" width="7" customWidth="1"/>
    <col min="32" max="32" width="11" customWidth="1"/>
    <col min="33" max="33" width="10.54296875" customWidth="1"/>
    <col min="34" max="34" width="6.54296875" customWidth="1"/>
    <col min="35" max="35" width="13.81640625" customWidth="1"/>
    <col min="36" max="36" width="14.1796875" customWidth="1"/>
    <col min="37" max="37" width="6.26953125" customWidth="1"/>
    <col min="38" max="38" width="5.81640625" customWidth="1"/>
    <col min="39" max="39" width="4.81640625" customWidth="1"/>
    <col min="40" max="40" width="13.54296875" customWidth="1"/>
    <col min="41" max="41" width="18.54296875" customWidth="1"/>
    <col min="42" max="42" width="4.81640625" customWidth="1"/>
    <col min="43" max="43" width="5" customWidth="1"/>
    <col min="44" max="45" width="4.26953125" customWidth="1"/>
    <col min="46" max="46" width="11.453125" customWidth="1"/>
    <col min="47" max="47" width="16.1796875" customWidth="1"/>
    <col min="48" max="48" width="3.453125" customWidth="1"/>
    <col min="49" max="58" width="3" customWidth="1"/>
    <col min="59" max="59" width="13.453125" customWidth="1"/>
    <col min="60" max="60" width="22.26953125" customWidth="1"/>
    <col min="61" max="61" width="2.7265625" customWidth="1"/>
    <col min="62" max="66" width="3" customWidth="1"/>
    <col min="67" max="67" width="10.54296875" customWidth="1"/>
    <col min="68" max="68" width="16.7265625" customWidth="1"/>
    <col min="69" max="69" width="5.453125" customWidth="1"/>
    <col min="70" max="75" width="3" customWidth="1"/>
    <col min="76" max="76" width="21.54296875" customWidth="1"/>
    <col min="77" max="77" width="34.54296875" customWidth="1"/>
    <col min="78" max="78" width="11.26953125" customWidth="1"/>
    <col min="79" max="79" width="14" customWidth="1"/>
    <col min="80" max="80" width="15.453125" customWidth="1"/>
    <col min="81" max="81" width="3" customWidth="1"/>
    <col min="82" max="82" width="11.1796875" customWidth="1"/>
    <col min="83" max="83" width="33.81640625" customWidth="1"/>
    <col min="84" max="84" width="13.1796875" customWidth="1"/>
    <col min="85" max="86" width="3" customWidth="1"/>
    <col min="87" max="87" width="19.26953125" customWidth="1"/>
    <col min="88" max="88" width="32.26953125" customWidth="1"/>
    <col min="89" max="89" width="4.54296875" customWidth="1"/>
    <col min="90" max="90" width="4.81640625" customWidth="1"/>
    <col min="91" max="92" width="4.54296875" customWidth="1"/>
    <col min="93" max="93" width="12.7265625" customWidth="1"/>
    <col min="94" max="94" width="19.453125" customWidth="1"/>
    <col min="95" max="95" width="12.26953125" customWidth="1"/>
    <col min="96" max="96" width="15.26953125" customWidth="1"/>
    <col min="97" max="97" width="11" customWidth="1"/>
    <col min="98" max="98" width="13.7265625" customWidth="1"/>
    <col min="99" max="99" width="15.54296875" customWidth="1"/>
  </cols>
  <sheetData>
    <row r="1" spans="1:99" s="265" customFormat="1">
      <c r="A1" s="265">
        <v>1</v>
      </c>
      <c r="B1" s="265">
        <v>2</v>
      </c>
      <c r="C1" s="265">
        <v>3</v>
      </c>
      <c r="D1" s="265">
        <v>4</v>
      </c>
      <c r="E1" s="265">
        <v>5</v>
      </c>
      <c r="F1" s="265">
        <v>6</v>
      </c>
      <c r="G1" s="265">
        <v>7</v>
      </c>
      <c r="H1" s="265">
        <v>8</v>
      </c>
      <c r="I1" s="265">
        <v>9</v>
      </c>
      <c r="J1" s="265">
        <v>10</v>
      </c>
      <c r="K1" s="265">
        <v>11</v>
      </c>
      <c r="L1" s="265">
        <v>12</v>
      </c>
      <c r="M1" s="265">
        <v>13</v>
      </c>
      <c r="N1" s="265">
        <v>14</v>
      </c>
      <c r="O1" s="265">
        <v>15</v>
      </c>
      <c r="P1" s="265">
        <v>16</v>
      </c>
      <c r="Q1" s="265">
        <v>17</v>
      </c>
      <c r="R1" s="265">
        <v>18</v>
      </c>
      <c r="S1" s="265">
        <v>19</v>
      </c>
      <c r="T1" s="265">
        <v>20</v>
      </c>
      <c r="U1" s="265">
        <v>21</v>
      </c>
      <c r="V1" s="265">
        <v>22</v>
      </c>
      <c r="W1" s="265">
        <v>23</v>
      </c>
      <c r="X1" s="265">
        <v>24</v>
      </c>
      <c r="Y1" s="265">
        <v>25</v>
      </c>
      <c r="Z1" s="265">
        <v>26</v>
      </c>
      <c r="AA1" s="265">
        <v>27</v>
      </c>
      <c r="AB1" s="265">
        <v>28</v>
      </c>
      <c r="AC1" s="265">
        <v>29</v>
      </c>
      <c r="AD1" s="265">
        <v>30</v>
      </c>
      <c r="AE1" s="265">
        <v>31</v>
      </c>
      <c r="AF1" s="265">
        <v>32</v>
      </c>
      <c r="AG1" s="265">
        <v>33</v>
      </c>
      <c r="AH1" s="265">
        <v>34</v>
      </c>
      <c r="AI1" s="265">
        <v>35</v>
      </c>
      <c r="AJ1" s="265">
        <v>36</v>
      </c>
      <c r="AK1" s="265">
        <v>37</v>
      </c>
      <c r="AL1" s="265">
        <v>38</v>
      </c>
      <c r="AM1" s="265">
        <v>39</v>
      </c>
      <c r="AN1" s="265">
        <v>40</v>
      </c>
      <c r="AO1" s="265">
        <v>41</v>
      </c>
      <c r="AV1" s="265">
        <v>42</v>
      </c>
      <c r="AW1" s="265">
        <v>43</v>
      </c>
      <c r="AX1" s="265">
        <v>44</v>
      </c>
      <c r="AY1" s="265">
        <v>45</v>
      </c>
      <c r="AZ1" s="265">
        <v>46</v>
      </c>
      <c r="BA1" s="265">
        <v>47</v>
      </c>
      <c r="BB1" s="265">
        <v>48</v>
      </c>
      <c r="BC1" s="265">
        <v>49</v>
      </c>
      <c r="BD1" s="265">
        <v>50</v>
      </c>
      <c r="BE1" s="265">
        <v>51</v>
      </c>
      <c r="BF1" s="265">
        <v>52</v>
      </c>
      <c r="BG1" s="265">
        <v>53</v>
      </c>
      <c r="BH1" s="265">
        <v>54</v>
      </c>
      <c r="BI1" s="265">
        <v>55</v>
      </c>
      <c r="BJ1" s="265">
        <v>56</v>
      </c>
      <c r="BK1" s="265">
        <v>57</v>
      </c>
      <c r="BL1" s="265">
        <v>58</v>
      </c>
      <c r="BM1" s="265">
        <v>59</v>
      </c>
      <c r="BN1" s="265">
        <v>60</v>
      </c>
      <c r="BO1" s="265">
        <v>61</v>
      </c>
      <c r="BP1" s="265">
        <v>62</v>
      </c>
      <c r="BQ1" s="265">
        <v>63</v>
      </c>
      <c r="BR1" s="265">
        <v>64</v>
      </c>
      <c r="BS1" s="265">
        <v>65</v>
      </c>
      <c r="BT1" s="265">
        <v>66</v>
      </c>
      <c r="BU1" s="265">
        <v>67</v>
      </c>
      <c r="BV1" s="265">
        <v>68</v>
      </c>
      <c r="BW1" s="265">
        <v>69</v>
      </c>
      <c r="BX1" s="265">
        <v>70</v>
      </c>
      <c r="BY1" s="265">
        <v>71</v>
      </c>
      <c r="BZ1" s="265">
        <v>72</v>
      </c>
      <c r="CA1" s="265">
        <v>73</v>
      </c>
      <c r="CB1" s="265">
        <v>74</v>
      </c>
      <c r="CC1" s="265">
        <v>75</v>
      </c>
      <c r="CD1" s="265">
        <v>76</v>
      </c>
      <c r="CE1" s="265">
        <v>77</v>
      </c>
      <c r="CF1" s="265">
        <v>78</v>
      </c>
      <c r="CG1" s="265">
        <v>79</v>
      </c>
      <c r="CH1" s="265">
        <v>80</v>
      </c>
      <c r="CI1" s="265">
        <v>81</v>
      </c>
      <c r="CJ1" s="265">
        <v>82</v>
      </c>
      <c r="CQ1" s="265">
        <v>83</v>
      </c>
      <c r="CR1" s="265">
        <v>84</v>
      </c>
      <c r="CS1" s="265">
        <v>85</v>
      </c>
      <c r="CT1" s="265">
        <v>86</v>
      </c>
      <c r="CU1" s="265">
        <v>87</v>
      </c>
    </row>
    <row r="2" spans="1:99">
      <c r="A2" t="s">
        <v>819</v>
      </c>
      <c r="AV2" t="s">
        <v>820</v>
      </c>
    </row>
    <row r="3" spans="1:99" s="264" customFormat="1" ht="45.75" customHeight="1">
      <c r="A3" s="762" t="s">
        <v>855</v>
      </c>
      <c r="B3" s="762"/>
      <c r="C3" s="762"/>
      <c r="D3" s="762"/>
      <c r="E3" s="762"/>
      <c r="F3" s="762"/>
      <c r="G3" s="762"/>
      <c r="H3" s="762"/>
      <c r="I3" s="762"/>
      <c r="J3" s="762"/>
      <c r="K3" s="762"/>
      <c r="L3" s="270" t="s">
        <v>821</v>
      </c>
      <c r="M3" s="270" t="s">
        <v>822</v>
      </c>
      <c r="N3" s="762" t="s">
        <v>854</v>
      </c>
      <c r="O3" s="762"/>
      <c r="P3" s="762"/>
      <c r="Q3" s="762"/>
      <c r="R3" s="762"/>
      <c r="S3" s="762"/>
      <c r="T3" s="270" t="s">
        <v>823</v>
      </c>
      <c r="U3" s="270" t="s">
        <v>824</v>
      </c>
      <c r="V3" s="762" t="s">
        <v>853</v>
      </c>
      <c r="W3" s="762"/>
      <c r="X3" s="762"/>
      <c r="Y3" s="762"/>
      <c r="Z3" s="762"/>
      <c r="AA3" s="762"/>
      <c r="AB3" s="762"/>
      <c r="AC3" s="270" t="s">
        <v>825</v>
      </c>
      <c r="AD3" s="270" t="s">
        <v>826</v>
      </c>
      <c r="AE3" s="270" t="s">
        <v>827</v>
      </c>
      <c r="AF3" s="270" t="s">
        <v>828</v>
      </c>
      <c r="AG3" s="762" t="s">
        <v>829</v>
      </c>
      <c r="AH3" s="762"/>
      <c r="AI3" s="270" t="s">
        <v>830</v>
      </c>
      <c r="AJ3" s="270" t="s">
        <v>831</v>
      </c>
      <c r="AK3" s="762" t="s">
        <v>856</v>
      </c>
      <c r="AL3" s="762"/>
      <c r="AM3" s="762"/>
      <c r="AN3" s="270" t="s">
        <v>833</v>
      </c>
      <c r="AO3" s="270" t="s">
        <v>834</v>
      </c>
      <c r="AP3" s="762" t="s">
        <v>858</v>
      </c>
      <c r="AQ3" s="762"/>
      <c r="AR3" s="762"/>
      <c r="AS3" s="762"/>
      <c r="AT3" s="270" t="s">
        <v>859</v>
      </c>
      <c r="AU3" s="270" t="s">
        <v>860</v>
      </c>
      <c r="AV3" s="762" t="s">
        <v>857</v>
      </c>
      <c r="AW3" s="762"/>
      <c r="AX3" s="762"/>
      <c r="AY3" s="762"/>
      <c r="AZ3" s="762"/>
      <c r="BA3" s="762"/>
      <c r="BB3" s="762"/>
      <c r="BC3" s="762"/>
      <c r="BD3" s="762"/>
      <c r="BE3" s="762"/>
      <c r="BF3" s="762"/>
      <c r="BG3" s="270" t="s">
        <v>835</v>
      </c>
      <c r="BH3" s="270" t="s">
        <v>836</v>
      </c>
      <c r="BI3" s="762" t="s">
        <v>854</v>
      </c>
      <c r="BJ3" s="762"/>
      <c r="BK3" s="762"/>
      <c r="BL3" s="762"/>
      <c r="BM3" s="762"/>
      <c r="BN3" s="762"/>
      <c r="BO3" s="270" t="s">
        <v>837</v>
      </c>
      <c r="BP3" s="270" t="s">
        <v>838</v>
      </c>
      <c r="BQ3" s="762" t="s">
        <v>853</v>
      </c>
      <c r="BR3" s="762"/>
      <c r="BS3" s="762"/>
      <c r="BT3" s="762"/>
      <c r="BU3" s="762"/>
      <c r="BV3" s="762"/>
      <c r="BW3" s="762"/>
      <c r="BX3" s="270" t="s">
        <v>839</v>
      </c>
      <c r="BY3" s="270" t="s">
        <v>840</v>
      </c>
      <c r="BZ3" s="270" t="s">
        <v>864</v>
      </c>
      <c r="CA3" s="270" t="s">
        <v>865</v>
      </c>
      <c r="CB3" s="270" t="s">
        <v>866</v>
      </c>
      <c r="CC3" s="270"/>
      <c r="CD3" s="270" t="s">
        <v>841</v>
      </c>
      <c r="CE3" s="270" t="s">
        <v>842</v>
      </c>
      <c r="CF3" s="270" t="s">
        <v>832</v>
      </c>
      <c r="CG3" s="270"/>
      <c r="CH3" s="270"/>
      <c r="CI3" s="270" t="s">
        <v>843</v>
      </c>
      <c r="CJ3" s="270" t="s">
        <v>844</v>
      </c>
      <c r="CK3" s="762" t="s">
        <v>861</v>
      </c>
      <c r="CL3" s="762"/>
      <c r="CM3" s="762"/>
      <c r="CN3" s="762"/>
      <c r="CO3" s="270" t="s">
        <v>862</v>
      </c>
      <c r="CP3" s="270" t="s">
        <v>863</v>
      </c>
      <c r="CQ3" s="270" t="s">
        <v>850</v>
      </c>
      <c r="CR3" s="270" t="s">
        <v>851</v>
      </c>
      <c r="CS3" s="270" t="s">
        <v>852</v>
      </c>
      <c r="CT3" s="270" t="s">
        <v>845</v>
      </c>
      <c r="CU3" s="270" t="s">
        <v>849</v>
      </c>
    </row>
    <row r="4" spans="1:99" s="265" customFormat="1">
      <c r="A4" s="763" t="s">
        <v>846</v>
      </c>
      <c r="B4" s="764"/>
      <c r="C4" s="765"/>
      <c r="D4" s="763" t="s">
        <v>847</v>
      </c>
      <c r="E4" s="764"/>
      <c r="F4" s="765"/>
      <c r="G4" s="763" t="s">
        <v>848</v>
      </c>
      <c r="H4" s="764"/>
      <c r="I4" s="764"/>
      <c r="J4" s="764"/>
      <c r="K4" s="765"/>
      <c r="L4" s="271"/>
      <c r="M4" s="271"/>
      <c r="N4" s="271">
        <v>1</v>
      </c>
      <c r="O4" s="271">
        <v>2</v>
      </c>
      <c r="P4" s="271">
        <v>3</v>
      </c>
      <c r="Q4" s="271">
        <v>4</v>
      </c>
      <c r="R4" s="271">
        <v>5</v>
      </c>
      <c r="S4" s="271">
        <v>6</v>
      </c>
      <c r="T4" s="271"/>
      <c r="U4" s="271"/>
      <c r="V4" s="271">
        <v>1</v>
      </c>
      <c r="W4" s="271">
        <v>2</v>
      </c>
      <c r="X4" s="271">
        <v>3</v>
      </c>
      <c r="Y4" s="271">
        <v>4</v>
      </c>
      <c r="Z4" s="271">
        <v>5</v>
      </c>
      <c r="AA4" s="271">
        <v>6</v>
      </c>
      <c r="AB4" s="271">
        <v>7</v>
      </c>
      <c r="AC4" s="271"/>
      <c r="AD4" s="271"/>
      <c r="AE4" s="271">
        <v>1</v>
      </c>
      <c r="AF4" s="271">
        <v>1</v>
      </c>
      <c r="AG4" s="271">
        <v>1</v>
      </c>
      <c r="AH4" s="271">
        <v>2</v>
      </c>
      <c r="AI4" s="271"/>
      <c r="AJ4" s="271"/>
      <c r="AK4" s="271">
        <v>1</v>
      </c>
      <c r="AL4" s="271">
        <v>2</v>
      </c>
      <c r="AM4" s="271">
        <v>3</v>
      </c>
      <c r="AN4" s="271"/>
      <c r="AO4" s="271"/>
      <c r="AP4" s="271"/>
      <c r="AQ4" s="271"/>
      <c r="AR4" s="271"/>
      <c r="AS4" s="271"/>
      <c r="AT4" s="271"/>
      <c r="AU4" s="271"/>
      <c r="AV4" s="271" t="s">
        <v>846</v>
      </c>
      <c r="AW4" s="271"/>
      <c r="AX4" s="271"/>
      <c r="AY4" s="271" t="s">
        <v>847</v>
      </c>
      <c r="AZ4" s="271"/>
      <c r="BA4" s="271"/>
      <c r="BB4" s="271" t="s">
        <v>848</v>
      </c>
      <c r="BC4" s="271"/>
      <c r="BD4" s="271"/>
      <c r="BE4" s="271"/>
      <c r="BF4" s="271"/>
      <c r="BG4" s="271"/>
      <c r="BH4" s="271"/>
      <c r="BI4" s="271">
        <v>1</v>
      </c>
      <c r="BJ4" s="271">
        <v>2</v>
      </c>
      <c r="BK4" s="271">
        <v>3</v>
      </c>
      <c r="BL4" s="271">
        <v>4</v>
      </c>
      <c r="BM4" s="271">
        <v>5</v>
      </c>
      <c r="BN4" s="271">
        <v>6</v>
      </c>
      <c r="BO4" s="271"/>
      <c r="BP4" s="271"/>
      <c r="BQ4" s="271">
        <v>1</v>
      </c>
      <c r="BR4" s="271">
        <v>2</v>
      </c>
      <c r="BS4" s="271">
        <v>3</v>
      </c>
      <c r="BT4" s="271">
        <v>4</v>
      </c>
      <c r="BU4" s="271">
        <v>5</v>
      </c>
      <c r="BV4" s="271">
        <v>6</v>
      </c>
      <c r="BW4" s="271">
        <v>7</v>
      </c>
      <c r="BX4" s="271"/>
      <c r="BY4" s="271"/>
      <c r="BZ4" s="271">
        <v>1</v>
      </c>
      <c r="CA4" s="271">
        <v>1</v>
      </c>
      <c r="CB4" s="271" t="s">
        <v>846</v>
      </c>
      <c r="CC4" s="271" t="s">
        <v>847</v>
      </c>
      <c r="CD4" s="271"/>
      <c r="CE4" s="271"/>
      <c r="CF4" s="271">
        <v>1</v>
      </c>
      <c r="CG4" s="271">
        <v>2</v>
      </c>
      <c r="CH4" s="271">
        <v>3</v>
      </c>
      <c r="CI4" s="271"/>
      <c r="CJ4" s="271"/>
      <c r="CK4" s="271"/>
      <c r="CL4" s="271"/>
      <c r="CM4" s="271"/>
      <c r="CN4" s="271"/>
      <c r="CO4" s="271"/>
      <c r="CP4" s="271"/>
      <c r="CQ4" s="271"/>
      <c r="CR4" s="271"/>
      <c r="CS4" s="271"/>
      <c r="CT4" s="271"/>
      <c r="CU4" s="271"/>
    </row>
    <row r="5" spans="1:99" s="265" customFormat="1">
      <c r="A5" s="271">
        <v>1</v>
      </c>
      <c r="B5" s="271">
        <v>2</v>
      </c>
      <c r="C5" s="271">
        <v>3</v>
      </c>
      <c r="D5" s="271">
        <v>1</v>
      </c>
      <c r="E5" s="271">
        <v>2</v>
      </c>
      <c r="F5" s="271">
        <v>3</v>
      </c>
      <c r="G5" s="271">
        <v>1</v>
      </c>
      <c r="H5" s="271">
        <v>2</v>
      </c>
      <c r="I5" s="271">
        <v>3</v>
      </c>
      <c r="J5" s="271">
        <v>4</v>
      </c>
      <c r="K5" s="271">
        <v>5</v>
      </c>
      <c r="L5" s="271"/>
      <c r="M5" s="271"/>
      <c r="N5" s="271"/>
      <c r="O5" s="271"/>
      <c r="P5" s="271"/>
      <c r="Q5" s="271"/>
      <c r="R5" s="271"/>
      <c r="S5" s="271"/>
      <c r="T5" s="271"/>
      <c r="U5" s="271"/>
      <c r="V5" s="271"/>
      <c r="W5" s="271"/>
      <c r="X5" s="271"/>
      <c r="Y5" s="271"/>
      <c r="Z5" s="271"/>
      <c r="AA5" s="271"/>
      <c r="AB5" s="271"/>
      <c r="AC5" s="271"/>
      <c r="AD5" s="271"/>
      <c r="AE5" s="271"/>
      <c r="AF5" s="271"/>
      <c r="AG5" s="271"/>
      <c r="AH5" s="271"/>
      <c r="AI5" s="271"/>
      <c r="AJ5" s="271"/>
      <c r="AK5" s="271"/>
      <c r="AL5" s="271"/>
      <c r="AM5" s="271"/>
      <c r="AN5" s="271"/>
      <c r="AO5" s="271"/>
      <c r="AP5" s="271"/>
      <c r="AQ5" s="271"/>
      <c r="AR5" s="271"/>
      <c r="AS5" s="271"/>
      <c r="AT5" s="271"/>
      <c r="AU5" s="271"/>
      <c r="AV5" s="271">
        <v>1</v>
      </c>
      <c r="AW5" s="271">
        <v>2</v>
      </c>
      <c r="AX5" s="271">
        <v>3</v>
      </c>
      <c r="AY5" s="271">
        <v>1</v>
      </c>
      <c r="AZ5" s="271">
        <v>2</v>
      </c>
      <c r="BA5" s="271">
        <v>3</v>
      </c>
      <c r="BB5" s="271">
        <v>1</v>
      </c>
      <c r="BC5" s="271">
        <v>2</v>
      </c>
      <c r="BD5" s="271">
        <v>3</v>
      </c>
      <c r="BE5" s="271">
        <v>4</v>
      </c>
      <c r="BF5" s="271">
        <v>5</v>
      </c>
      <c r="BG5" s="271"/>
      <c r="BH5" s="271"/>
      <c r="BI5" s="271"/>
      <c r="BJ5" s="271"/>
      <c r="BK5" s="271"/>
      <c r="BL5" s="271"/>
      <c r="BM5" s="271"/>
      <c r="BN5" s="271"/>
      <c r="BO5" s="271"/>
      <c r="BP5" s="271"/>
      <c r="BQ5" s="271"/>
      <c r="BR5" s="271"/>
      <c r="BS5" s="271"/>
      <c r="BT5" s="271"/>
      <c r="BU5" s="271"/>
      <c r="BV5" s="271"/>
      <c r="BW5" s="271"/>
      <c r="BX5" s="271"/>
      <c r="BY5" s="271"/>
      <c r="BZ5" s="271"/>
      <c r="CA5" s="271"/>
      <c r="CB5" s="271">
        <v>1</v>
      </c>
      <c r="CC5" s="271">
        <v>1</v>
      </c>
      <c r="CD5" s="271"/>
      <c r="CE5" s="271"/>
      <c r="CF5" s="271"/>
      <c r="CG5" s="271"/>
      <c r="CH5" s="271"/>
      <c r="CI5" s="271"/>
      <c r="CJ5" s="271"/>
      <c r="CK5" s="271"/>
      <c r="CL5" s="271"/>
      <c r="CM5" s="271"/>
      <c r="CN5" s="271"/>
      <c r="CO5" s="271"/>
      <c r="CP5" s="271"/>
      <c r="CQ5" s="271"/>
      <c r="CR5" s="271"/>
      <c r="CS5" s="271"/>
      <c r="CT5" s="271"/>
      <c r="CU5" s="271"/>
    </row>
    <row r="6" spans="1:99" s="265" customFormat="1">
      <c r="A6" s="266"/>
      <c r="B6" s="266"/>
      <c r="C6" s="266"/>
      <c r="D6" s="266"/>
      <c r="E6" s="266"/>
      <c r="F6" s="266"/>
      <c r="G6" s="266"/>
      <c r="H6" s="266"/>
      <c r="I6" s="266"/>
      <c r="J6" s="266"/>
      <c r="K6" s="266"/>
      <c r="L6" s="272" t="e">
        <f t="shared" ref="L6" si="0">AVERAGE(A6:K6)</f>
        <v>#DIV/0!</v>
      </c>
      <c r="M6" s="268" t="e">
        <f t="shared" ref="M6" si="1">ROUND(L6,0.6=2)</f>
        <v>#DIV/0!</v>
      </c>
      <c r="N6" s="266"/>
      <c r="O6" s="266"/>
      <c r="P6" s="266"/>
      <c r="Q6" s="266"/>
      <c r="R6" s="266"/>
      <c r="S6" s="266"/>
      <c r="T6" s="272" t="e">
        <f t="shared" ref="T6" si="2">AVERAGE(N6:S6)</f>
        <v>#DIV/0!</v>
      </c>
      <c r="U6" s="268" t="e">
        <f t="shared" ref="U6" si="3">ROUND(T6,0.6=2)</f>
        <v>#DIV/0!</v>
      </c>
      <c r="V6" s="266"/>
      <c r="W6" s="267"/>
      <c r="X6" s="266"/>
      <c r="Y6" s="266"/>
      <c r="Z6" s="266"/>
      <c r="AA6" s="266"/>
      <c r="AB6" s="266"/>
      <c r="AC6" s="272" t="e">
        <f t="shared" ref="AC6" si="4">AVERAGE(V6:AB6)</f>
        <v>#DIV/0!</v>
      </c>
      <c r="AD6" s="268" t="e">
        <f t="shared" ref="AD6" si="5">ROUND(AC6,0.6=2)</f>
        <v>#DIV/0!</v>
      </c>
      <c r="AE6" s="266"/>
      <c r="AF6" s="266"/>
      <c r="AG6" s="266"/>
      <c r="AH6" s="266"/>
      <c r="AI6" s="272" t="e">
        <f t="shared" ref="AI6" si="6">AVERAGE(AG6:AH6)</f>
        <v>#DIV/0!</v>
      </c>
      <c r="AJ6" s="268" t="e">
        <f t="shared" ref="AJ6" si="7">ROUND(AI6,0.6=2)</f>
        <v>#DIV/0!</v>
      </c>
      <c r="AK6" s="266"/>
      <c r="AL6" s="266"/>
      <c r="AM6" s="266"/>
      <c r="AN6" s="272" t="e">
        <f t="shared" ref="AN6" si="8">AVERAGE(AK6:AM6)</f>
        <v>#DIV/0!</v>
      </c>
      <c r="AO6" s="268" t="e">
        <f t="shared" ref="AO6" si="9">ROUND(AN6,0.6=2)</f>
        <v>#DIV/0!</v>
      </c>
      <c r="AP6" s="269"/>
      <c r="AQ6" s="269"/>
      <c r="AR6" s="269"/>
      <c r="AS6" s="269"/>
      <c r="AT6" s="268" t="e">
        <f>AVERAGE(AP6:AS6)</f>
        <v>#DIV/0!</v>
      </c>
      <c r="AU6" s="268" t="e">
        <f>ROUND(AT6,0.6=2)</f>
        <v>#DIV/0!</v>
      </c>
      <c r="AV6" s="266"/>
      <c r="AW6" s="266"/>
      <c r="AX6" s="266"/>
      <c r="AY6" s="266"/>
      <c r="AZ6" s="266"/>
      <c r="BA6" s="266"/>
      <c r="BB6" s="266"/>
      <c r="BC6" s="266"/>
      <c r="BD6" s="266"/>
      <c r="BE6" s="266"/>
      <c r="BF6" s="266"/>
      <c r="BG6" s="272" t="e">
        <f t="shared" ref="BG6" si="10">AVERAGE(AY6:BF6)</f>
        <v>#DIV/0!</v>
      </c>
      <c r="BH6" s="268" t="e">
        <f t="shared" ref="BH6" si="11">ROUND(BG6,0.6=3)</f>
        <v>#DIV/0!</v>
      </c>
      <c r="BI6" s="266"/>
      <c r="BJ6" s="266"/>
      <c r="BK6" s="266"/>
      <c r="BL6" s="266"/>
      <c r="BM6" s="266"/>
      <c r="BN6" s="266"/>
      <c r="BO6" s="272" t="e">
        <f t="shared" ref="BO6" si="12">AVERAGE(BI6:BN6)</f>
        <v>#DIV/0!</v>
      </c>
      <c r="BP6" s="268" t="e">
        <f t="shared" ref="BP6" si="13">ROUND(BO6,0.6=2)</f>
        <v>#DIV/0!</v>
      </c>
      <c r="BQ6" s="266"/>
      <c r="BR6" s="266"/>
      <c r="BS6" s="266"/>
      <c r="BT6" s="266"/>
      <c r="BU6" s="266"/>
      <c r="BV6" s="266"/>
      <c r="BW6" s="266"/>
      <c r="BX6" s="272" t="e">
        <f t="shared" ref="BX6" si="14">AVERAGE(BQ6:BW6)</f>
        <v>#DIV/0!</v>
      </c>
      <c r="BY6" s="268" t="e">
        <f t="shared" ref="BY6" si="15">ROUND(BX6,0.6=2)</f>
        <v>#DIV/0!</v>
      </c>
      <c r="BZ6" s="266"/>
      <c r="CA6" s="266"/>
      <c r="CB6" s="266"/>
      <c r="CC6" s="266"/>
      <c r="CD6" s="268" t="e">
        <f t="shared" ref="CD6" si="16">AVERAGE(CB6:CC6)</f>
        <v>#DIV/0!</v>
      </c>
      <c r="CE6" s="268" t="e">
        <f t="shared" ref="CE6" si="17">ROUND(CD6,0.6=2)</f>
        <v>#DIV/0!</v>
      </c>
      <c r="CF6" s="266"/>
      <c r="CG6" s="266"/>
      <c r="CH6" s="266"/>
      <c r="CI6" s="272" t="e">
        <f t="shared" ref="CI6" si="18">AVERAGE(CF6:CH6)</f>
        <v>#DIV/0!</v>
      </c>
      <c r="CJ6" s="268" t="e">
        <f t="shared" ref="CJ6" si="19">ROUND(CI6,0.6=2)</f>
        <v>#DIV/0!</v>
      </c>
      <c r="CK6" s="269"/>
      <c r="CL6" s="269"/>
      <c r="CM6" s="269"/>
      <c r="CN6" s="269"/>
      <c r="CO6" s="268" t="e">
        <f>AVERAGE(CK6:CN6)</f>
        <v>#DIV/0!</v>
      </c>
      <c r="CP6" s="268" t="e">
        <f>ROUND(CO6,0.6=2)</f>
        <v>#DIV/0!</v>
      </c>
      <c r="CQ6" s="272" t="e">
        <f>AVERAGE(L6,T6,AC6,AE6,AF6,AI6,AN6,AT6)</f>
        <v>#DIV/0!</v>
      </c>
      <c r="CR6" s="268" t="e">
        <f t="shared" ref="CR6" si="20">ROUND(CQ6,0.6=2)</f>
        <v>#DIV/0!</v>
      </c>
      <c r="CS6" s="272" t="e">
        <f>AVERAGE(BG6,BO6,BX6,BZ6,CA6,CD6,CI6,CO6)</f>
        <v>#DIV/0!</v>
      </c>
      <c r="CT6" s="268" t="e">
        <f t="shared" ref="CT6" si="21">ROUND(CS6,0.6=3)</f>
        <v>#DIV/0!</v>
      </c>
      <c r="CU6" s="273" t="e">
        <f t="shared" ref="CU6" si="22">IF(CQ6*CS6&lt;3,"1,00",IF(CQ6*CS6&lt;5,"2,00",IF(CQ6*CS6&lt;10,"3,00",IF(CQ6*CS6&lt;16.01,"4,00",IF(CQ6*CS6&lt;25.01,"5,00")))))</f>
        <v>#DIV/0!</v>
      </c>
    </row>
  </sheetData>
  <mergeCells count="13">
    <mergeCell ref="A3:K3"/>
    <mergeCell ref="AG3:AH3"/>
    <mergeCell ref="AP3:AS3"/>
    <mergeCell ref="CK3:CN3"/>
    <mergeCell ref="A4:C4"/>
    <mergeCell ref="D4:F4"/>
    <mergeCell ref="G4:K4"/>
    <mergeCell ref="BQ3:BW3"/>
    <mergeCell ref="BI3:BN3"/>
    <mergeCell ref="AV3:BF3"/>
    <mergeCell ref="AK3:AM3"/>
    <mergeCell ref="V3:AB3"/>
    <mergeCell ref="N3:S3"/>
  </mergeCells>
  <pageMargins left="0.7" right="0.7" top="0.75" bottom="0.75" header="0.3" footer="0.3"/>
  <customProperties>
    <customPr name="EpmWorksheetKeyString_GUID" r:id="rId1"/>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B2:G51"/>
  <sheetViews>
    <sheetView view="pageBreakPreview" topLeftCell="A6" zoomScale="70" zoomScaleNormal="100" workbookViewId="0">
      <selection activeCell="B47" sqref="B47"/>
    </sheetView>
  </sheetViews>
  <sheetFormatPr defaultColWidth="9.1796875" defaultRowHeight="14.5" outlineLevelRow="1"/>
  <cols>
    <col min="1" max="1" width="4" style="3" customWidth="1"/>
    <col min="2" max="2" width="37" style="3" customWidth="1"/>
    <col min="3" max="3" width="86.26953125" style="3" customWidth="1"/>
    <col min="4" max="4" width="12.7265625" style="3" customWidth="1"/>
    <col min="5" max="5" width="10.7265625" style="3" customWidth="1"/>
    <col min="6" max="6" width="13.26953125" style="3" customWidth="1"/>
    <col min="7" max="7" width="19.1796875" style="3" customWidth="1"/>
    <col min="8" max="16384" width="9.1796875" style="3"/>
  </cols>
  <sheetData>
    <row r="2" spans="2:7" s="2" customFormat="1" ht="26.25" hidden="1" customHeight="1">
      <c r="B2" s="4" t="s">
        <v>777</v>
      </c>
      <c r="C2" s="4" t="e">
        <f>#REF!</f>
        <v>#REF!</v>
      </c>
    </row>
    <row r="3" spans="2:7" s="2" customFormat="1" ht="26.25" hidden="1" customHeight="1">
      <c r="B3" s="4" t="s">
        <v>778</v>
      </c>
      <c r="C3" s="5" t="e">
        <f>#REF!</f>
        <v>#REF!</v>
      </c>
    </row>
    <row r="4" spans="2:7" s="2" customFormat="1" ht="26.25" hidden="1" customHeight="1">
      <c r="B4" s="4" t="s">
        <v>779</v>
      </c>
      <c r="C4" s="5" t="e">
        <f>#REF!</f>
        <v>#REF!</v>
      </c>
    </row>
    <row r="5" spans="2:7" s="2" customFormat="1" ht="40.5" hidden="1" customHeight="1">
      <c r="B5" s="4" t="s">
        <v>780</v>
      </c>
      <c r="C5" s="6" t="e">
        <f>#REF!</f>
        <v>#REF!</v>
      </c>
    </row>
    <row r="7" spans="2:7" s="279" customFormat="1" ht="54.75" customHeight="1">
      <c r="B7" s="278" t="s">
        <v>708</v>
      </c>
      <c r="C7" s="278" t="s">
        <v>875</v>
      </c>
      <c r="D7" s="278" t="s">
        <v>874</v>
      </c>
      <c r="E7" s="278" t="s">
        <v>781</v>
      </c>
      <c r="F7" s="278" t="s">
        <v>872</v>
      </c>
      <c r="G7" s="278" t="s">
        <v>873</v>
      </c>
    </row>
    <row r="8" spans="2:7" ht="25.5" customHeight="1">
      <c r="B8" s="7" t="s">
        <v>0</v>
      </c>
      <c r="C8" s="7"/>
      <c r="D8" s="8" t="e">
        <f>'Rekap Nilai'!CQ6</f>
        <v>#DIV/0!</v>
      </c>
      <c r="E8" s="8" t="e">
        <f>'Rekap Nilai'!CS6</f>
        <v>#DIV/0!</v>
      </c>
      <c r="F8" s="8" t="e">
        <f>+D8*E8</f>
        <v>#DIV/0!</v>
      </c>
      <c r="G8" s="9" t="e">
        <f>IF(F8&lt;3.1,"1",IF(F8&lt;5.1,"2",IF(F8&lt;10.1,"3",IF(F8&lt;16.01,"4",IF(F8&lt;25.1,"5")))))</f>
        <v>#DIV/0!</v>
      </c>
    </row>
    <row r="9" spans="2:7" ht="15" customHeight="1" outlineLevel="1">
      <c r="B9" s="10" t="s">
        <v>782</v>
      </c>
      <c r="C9" s="10"/>
      <c r="D9" s="11" t="e">
        <f>'Rekap Nilai'!L6</f>
        <v>#DIV/0!</v>
      </c>
      <c r="E9" s="11" t="e">
        <f>'Rekap Nilai'!BG6</f>
        <v>#DIV/0!</v>
      </c>
      <c r="F9" s="12" t="e">
        <f>+D9*E9</f>
        <v>#DIV/0!</v>
      </c>
      <c r="G9" s="12" t="e">
        <f>IF(F9&lt;3.1,"1",IF(F9&lt;5.1,"2",IF(F9&lt;10.1,"3",IF(F9&lt;16.01,"4",IF(F9&lt;25.1,"5")))))</f>
        <v>#DIV/0!</v>
      </c>
    </row>
    <row r="10" spans="2:7" ht="15" customHeight="1" outlineLevel="1">
      <c r="B10" s="13" t="s">
        <v>783</v>
      </c>
      <c r="C10" s="14" t="s">
        <v>784</v>
      </c>
      <c r="D10" s="3">
        <f>'Rekap Nilai'!A6</f>
        <v>0</v>
      </c>
      <c r="E10" s="280"/>
      <c r="F10" s="14"/>
      <c r="G10" s="14"/>
    </row>
    <row r="11" spans="2:7" ht="15" customHeight="1" outlineLevel="1">
      <c r="B11" s="13"/>
      <c r="C11" s="14" t="s">
        <v>785</v>
      </c>
      <c r="D11" s="3">
        <f>'Rekap Nilai'!B6</f>
        <v>0</v>
      </c>
      <c r="E11" s="280"/>
      <c r="F11" s="14"/>
      <c r="G11" s="14"/>
    </row>
    <row r="12" spans="2:7" ht="15" customHeight="1" outlineLevel="1">
      <c r="B12" s="13"/>
      <c r="C12" s="14" t="s">
        <v>786</v>
      </c>
      <c r="D12" s="3">
        <f>'Rekap Nilai'!C6</f>
        <v>0</v>
      </c>
      <c r="E12" s="280"/>
      <c r="F12" s="14"/>
      <c r="G12" s="14"/>
    </row>
    <row r="13" spans="2:7" ht="15" customHeight="1" outlineLevel="1">
      <c r="B13" s="13" t="s">
        <v>787</v>
      </c>
      <c r="C13" s="13" t="s">
        <v>788</v>
      </c>
      <c r="D13" s="3">
        <f>'Rekap Nilai'!D6</f>
        <v>0</v>
      </c>
      <c r="E13" s="3">
        <f>'Rekap Nilai'!AY6</f>
        <v>0</v>
      </c>
      <c r="F13" s="14"/>
      <c r="G13" s="14"/>
    </row>
    <row r="14" spans="2:7" ht="15" customHeight="1" outlineLevel="1">
      <c r="B14" s="13"/>
      <c r="C14" s="13" t="s">
        <v>94</v>
      </c>
      <c r="D14" s="3">
        <f>'Rekap Nilai'!E6</f>
        <v>0</v>
      </c>
      <c r="E14" s="3">
        <f>'Rekap Nilai'!AZ6</f>
        <v>0</v>
      </c>
      <c r="F14" s="14"/>
      <c r="G14" s="14"/>
    </row>
    <row r="15" spans="2:7" ht="15" customHeight="1" outlineLevel="1">
      <c r="B15" s="13"/>
      <c r="C15" s="13" t="s">
        <v>789</v>
      </c>
      <c r="D15" s="3">
        <f>'Rekap Nilai'!F6</f>
        <v>0</v>
      </c>
      <c r="E15" s="3">
        <f>'Rekap Nilai'!BA6</f>
        <v>0</v>
      </c>
      <c r="F15" s="14"/>
      <c r="G15" s="14"/>
    </row>
    <row r="16" spans="2:7" ht="15" customHeight="1" outlineLevel="1">
      <c r="B16" s="13" t="s">
        <v>790</v>
      </c>
      <c r="C16" s="13" t="s">
        <v>791</v>
      </c>
      <c r="D16" s="3">
        <f>'Rekap Nilai'!G6</f>
        <v>0</v>
      </c>
      <c r="E16" s="3">
        <f>'Rekap Nilai'!BB6</f>
        <v>0</v>
      </c>
      <c r="F16" s="14"/>
      <c r="G16" s="14"/>
    </row>
    <row r="17" spans="2:7" ht="15" customHeight="1" outlineLevel="1">
      <c r="B17" s="13"/>
      <c r="C17" s="13" t="s">
        <v>792</v>
      </c>
      <c r="D17" s="3">
        <f>'Rekap Nilai'!H6</f>
        <v>0</v>
      </c>
      <c r="E17" s="3">
        <f>'Rekap Nilai'!BC6</f>
        <v>0</v>
      </c>
      <c r="F17" s="14"/>
      <c r="G17" s="14"/>
    </row>
    <row r="18" spans="2:7" ht="15" customHeight="1" outlineLevel="1">
      <c r="B18" s="13"/>
      <c r="C18" s="13" t="s">
        <v>203</v>
      </c>
      <c r="D18" s="3">
        <f>'Rekap Nilai'!I6</f>
        <v>0</v>
      </c>
      <c r="E18" s="3">
        <f>'Rekap Nilai'!BD6</f>
        <v>0</v>
      </c>
      <c r="F18" s="14"/>
      <c r="G18" s="14"/>
    </row>
    <row r="19" spans="2:7" ht="15" customHeight="1" outlineLevel="1">
      <c r="B19" s="13"/>
      <c r="C19" s="13" t="s">
        <v>238</v>
      </c>
      <c r="D19" s="3">
        <f>'Rekap Nilai'!J6</f>
        <v>0</v>
      </c>
      <c r="E19" s="3">
        <f>'Rekap Nilai'!BE6</f>
        <v>0</v>
      </c>
      <c r="F19" s="14"/>
      <c r="G19" s="14"/>
    </row>
    <row r="20" spans="2:7" ht="15" customHeight="1" outlineLevel="1">
      <c r="B20" s="13"/>
      <c r="C20" s="13" t="s">
        <v>793</v>
      </c>
      <c r="D20" s="3">
        <f>'Rekap Nilai'!K6</f>
        <v>0</v>
      </c>
      <c r="E20" s="3">
        <f>'Rekap Nilai'!BF6</f>
        <v>0</v>
      </c>
      <c r="F20" s="14"/>
      <c r="G20" s="14"/>
    </row>
    <row r="21" spans="2:7" ht="15" customHeight="1" outlineLevel="1">
      <c r="B21" s="10" t="s">
        <v>794</v>
      </c>
      <c r="C21" s="10"/>
      <c r="D21" s="11" t="e">
        <f>'Rekap Nilai'!T6</f>
        <v>#DIV/0!</v>
      </c>
      <c r="E21" s="11" t="e">
        <f>'Rekap Nilai'!BO6</f>
        <v>#DIV/0!</v>
      </c>
      <c r="F21" s="12" t="e">
        <f>+D21*E21</f>
        <v>#DIV/0!</v>
      </c>
      <c r="G21" s="12" t="e">
        <f>IF(F21&lt;3.1,"1",IF(F21&lt;5.1,"2",IF(F21&lt;10.1,"3",IF(F21&lt;16.01,"4",IF(F21&lt;25.1,"5")))))</f>
        <v>#DIV/0!</v>
      </c>
    </row>
    <row r="22" spans="2:7" ht="15" customHeight="1" outlineLevel="1">
      <c r="B22" s="13"/>
      <c r="C22" s="13" t="s">
        <v>795</v>
      </c>
      <c r="D22" s="3">
        <f>'Rekap Nilai'!N6</f>
        <v>0</v>
      </c>
      <c r="E22" s="3">
        <f>'Rekap Nilai'!BI6</f>
        <v>0</v>
      </c>
      <c r="F22" s="14"/>
      <c r="G22" s="14"/>
    </row>
    <row r="23" spans="2:7" ht="15" customHeight="1" outlineLevel="1">
      <c r="B23" s="13"/>
      <c r="C23" s="13" t="s">
        <v>796</v>
      </c>
      <c r="D23" s="3">
        <f>'Rekap Nilai'!O6</f>
        <v>0</v>
      </c>
      <c r="E23" s="3">
        <f>'Rekap Nilai'!BJ6</f>
        <v>0</v>
      </c>
      <c r="F23" s="14"/>
      <c r="G23" s="14"/>
    </row>
    <row r="24" spans="2:7" ht="15" customHeight="1" outlineLevel="1">
      <c r="B24" s="13"/>
      <c r="C24" s="13" t="s">
        <v>797</v>
      </c>
      <c r="D24" s="3">
        <f>'Rekap Nilai'!P6</f>
        <v>0</v>
      </c>
      <c r="E24" s="3">
        <f>'Rekap Nilai'!BK6</f>
        <v>0</v>
      </c>
      <c r="F24" s="14"/>
      <c r="G24" s="14"/>
    </row>
    <row r="25" spans="2:7" ht="15" customHeight="1" outlineLevel="1">
      <c r="B25" s="13"/>
      <c r="C25" s="13" t="s">
        <v>798</v>
      </c>
      <c r="D25" s="3">
        <f>'Rekap Nilai'!Q6</f>
        <v>0</v>
      </c>
      <c r="E25" s="3">
        <f>'Rekap Nilai'!BL6</f>
        <v>0</v>
      </c>
      <c r="F25" s="14"/>
      <c r="G25" s="14"/>
    </row>
    <row r="26" spans="2:7" ht="15" customHeight="1" outlineLevel="1">
      <c r="B26" s="13"/>
      <c r="C26" s="13" t="s">
        <v>799</v>
      </c>
      <c r="D26" s="3">
        <f>'Rekap Nilai'!R6</f>
        <v>0</v>
      </c>
      <c r="E26" s="3">
        <f>'Rekap Nilai'!BM6</f>
        <v>0</v>
      </c>
      <c r="F26" s="14"/>
      <c r="G26" s="14"/>
    </row>
    <row r="27" spans="2:7" ht="15" customHeight="1" outlineLevel="1">
      <c r="B27" s="13"/>
      <c r="C27" s="13" t="s">
        <v>800</v>
      </c>
      <c r="D27" s="3">
        <f>'Rekap Nilai'!S6</f>
        <v>0</v>
      </c>
      <c r="E27" s="3">
        <f>'Rekap Nilai'!BN6</f>
        <v>0</v>
      </c>
      <c r="F27" s="14"/>
      <c r="G27" s="14"/>
    </row>
    <row r="28" spans="2:7" ht="15" customHeight="1" outlineLevel="1">
      <c r="B28" s="10" t="s">
        <v>801</v>
      </c>
      <c r="C28" s="10"/>
      <c r="D28" s="11" t="e">
        <f>'Rekap Nilai'!AC6</f>
        <v>#DIV/0!</v>
      </c>
      <c r="E28" s="11" t="e">
        <f>'Rekap Nilai'!BX6</f>
        <v>#DIV/0!</v>
      </c>
      <c r="F28" s="12" t="e">
        <f>+D28*E28</f>
        <v>#DIV/0!</v>
      </c>
      <c r="G28" s="12" t="e">
        <f>IF(F28&lt;3.1,"1",IF(F28&lt;5.1,"2",IF(F28&lt;10.1,"3",IF(F28&lt;16.01,"4",IF(F28&lt;25.1,"5")))))</f>
        <v>#DIV/0!</v>
      </c>
    </row>
    <row r="29" spans="2:7" ht="15" customHeight="1" outlineLevel="1">
      <c r="B29" s="13"/>
      <c r="C29" s="13" t="s">
        <v>802</v>
      </c>
      <c r="D29" s="3">
        <f>'Rekap Nilai'!V6</f>
        <v>0</v>
      </c>
      <c r="E29" s="3">
        <f>'Rekap Nilai'!BQ6</f>
        <v>0</v>
      </c>
      <c r="F29" s="14"/>
      <c r="G29" s="14"/>
    </row>
    <row r="30" spans="2:7" ht="15" customHeight="1" outlineLevel="1">
      <c r="B30" s="13"/>
      <c r="C30" s="13" t="s">
        <v>803</v>
      </c>
      <c r="D30" s="3">
        <f>'Rekap Nilai'!W6</f>
        <v>0</v>
      </c>
      <c r="E30" s="3">
        <f>'Rekap Nilai'!BR6</f>
        <v>0</v>
      </c>
      <c r="F30" s="14"/>
      <c r="G30" s="14"/>
    </row>
    <row r="31" spans="2:7" ht="15" customHeight="1" outlineLevel="1">
      <c r="B31" s="13"/>
      <c r="C31" s="13" t="s">
        <v>804</v>
      </c>
      <c r="D31" s="3">
        <f>'Rekap Nilai'!X6</f>
        <v>0</v>
      </c>
      <c r="E31" s="3">
        <f>'Rekap Nilai'!BS6</f>
        <v>0</v>
      </c>
      <c r="F31" s="14"/>
      <c r="G31" s="14"/>
    </row>
    <row r="32" spans="2:7" ht="15" customHeight="1" outlineLevel="1">
      <c r="B32" s="13"/>
      <c r="C32" s="13" t="s">
        <v>805</v>
      </c>
      <c r="D32" s="3">
        <f>'Rekap Nilai'!Y6</f>
        <v>0</v>
      </c>
      <c r="E32" s="3">
        <f>'Rekap Nilai'!BT6</f>
        <v>0</v>
      </c>
      <c r="F32" s="14"/>
      <c r="G32" s="14"/>
    </row>
    <row r="33" spans="2:7" ht="15" customHeight="1" outlineLevel="1">
      <c r="B33" s="13"/>
      <c r="C33" s="13" t="s">
        <v>806</v>
      </c>
      <c r="D33" s="3">
        <f>'Rekap Nilai'!Z6</f>
        <v>0</v>
      </c>
      <c r="E33" s="3">
        <f>'Rekap Nilai'!BU6</f>
        <v>0</v>
      </c>
      <c r="F33" s="14"/>
      <c r="G33" s="14"/>
    </row>
    <row r="34" spans="2:7" ht="15" customHeight="1" outlineLevel="1">
      <c r="B34" s="13"/>
      <c r="C34" s="13" t="s">
        <v>807</v>
      </c>
      <c r="D34" s="3">
        <f>'Rekap Nilai'!AA6</f>
        <v>0</v>
      </c>
      <c r="E34" s="3">
        <f>'Rekap Nilai'!BV6</f>
        <v>0</v>
      </c>
      <c r="F34" s="14"/>
      <c r="G34" s="14"/>
    </row>
    <row r="35" spans="2:7" ht="15" customHeight="1" outlineLevel="1">
      <c r="B35" s="13"/>
      <c r="C35" s="13" t="s">
        <v>808</v>
      </c>
      <c r="D35" s="3">
        <f>'Rekap Nilai'!AB6</f>
        <v>0</v>
      </c>
      <c r="E35" s="3">
        <f>'Rekap Nilai'!BW6</f>
        <v>0</v>
      </c>
      <c r="F35" s="14"/>
      <c r="G35" s="14"/>
    </row>
    <row r="36" spans="2:7" ht="15" customHeight="1" outlineLevel="1">
      <c r="B36" s="10" t="s">
        <v>809</v>
      </c>
      <c r="C36" s="10"/>
      <c r="D36" s="11">
        <f>+D37</f>
        <v>0</v>
      </c>
      <c r="E36" s="15">
        <f>+E37</f>
        <v>0</v>
      </c>
      <c r="F36" s="12">
        <f>+D36*E36</f>
        <v>0</v>
      </c>
      <c r="G36" s="12" t="str">
        <f>IF(F36&lt;3.1,"1",IF(F36&lt;5.1,"2",IF(F36&lt;10.1,"3",IF(F36&lt;16.01,"4",IF(F36&lt;25.1,"5")))))</f>
        <v>1</v>
      </c>
    </row>
    <row r="37" spans="2:7" ht="15" customHeight="1" outlineLevel="1">
      <c r="B37" s="13"/>
      <c r="C37" s="13" t="s">
        <v>810</v>
      </c>
      <c r="D37" s="3">
        <f>'Rekap Nilai'!AE6</f>
        <v>0</v>
      </c>
      <c r="E37" s="3">
        <f>'Rekap Nilai'!BZ6</f>
        <v>0</v>
      </c>
      <c r="F37" s="14"/>
      <c r="G37" s="14"/>
    </row>
    <row r="38" spans="2:7" ht="15" customHeight="1" outlineLevel="1">
      <c r="B38" s="10" t="s">
        <v>811</v>
      </c>
      <c r="C38" s="10"/>
      <c r="D38" s="11">
        <f>+D39</f>
        <v>0</v>
      </c>
      <c r="E38" s="15">
        <f>+E39</f>
        <v>0</v>
      </c>
      <c r="F38" s="12">
        <f>+D38*E38</f>
        <v>0</v>
      </c>
      <c r="G38" s="12" t="str">
        <f>IF(F38&lt;3.1,"1",IF(F38&lt;5.1,"2",IF(F38&lt;10.1,"3",IF(F38&lt;16.01,"4",IF(F38&lt;25.1,"5")))))</f>
        <v>1</v>
      </c>
    </row>
    <row r="39" spans="2:7" ht="15" customHeight="1" outlineLevel="1">
      <c r="B39" s="13"/>
      <c r="C39" s="13" t="s">
        <v>812</v>
      </c>
      <c r="D39" s="3">
        <f>'Rekap Nilai'!AF6</f>
        <v>0</v>
      </c>
      <c r="E39" s="3">
        <f>'Rekap Nilai'!CA6</f>
        <v>0</v>
      </c>
      <c r="F39" s="14"/>
      <c r="G39" s="14"/>
    </row>
    <row r="40" spans="2:7" ht="15" customHeight="1" outlineLevel="1">
      <c r="B40" s="282" t="s">
        <v>878</v>
      </c>
      <c r="C40" s="10"/>
      <c r="D40" s="11" t="e">
        <f>'Rekap Nilai'!AI6</f>
        <v>#DIV/0!</v>
      </c>
      <c r="E40" s="11" t="e">
        <f>'Rekap Nilai'!CD6</f>
        <v>#DIV/0!</v>
      </c>
      <c r="F40" s="12" t="e">
        <f>+D40*E40</f>
        <v>#DIV/0!</v>
      </c>
      <c r="G40" s="12" t="e">
        <f>IF(F40&lt;3.1,"1",IF(F40&lt;5.1,"2",IF(F40&lt;10.1,"3",IF(F40&lt;16.01,"4",IF(F40&lt;25.1,"5")))))</f>
        <v>#DIV/0!</v>
      </c>
    </row>
    <row r="41" spans="2:7" ht="15" customHeight="1" outlineLevel="1">
      <c r="B41" s="13"/>
      <c r="C41" s="13" t="s">
        <v>813</v>
      </c>
      <c r="D41" s="3">
        <f>'Rekap Nilai'!AG6</f>
        <v>0</v>
      </c>
      <c r="E41" s="3">
        <f>'Rekap Nilai'!CB6</f>
        <v>0</v>
      </c>
      <c r="F41" s="14"/>
      <c r="G41" s="14"/>
    </row>
    <row r="42" spans="2:7" ht="15" customHeight="1" outlineLevel="1">
      <c r="B42" s="13"/>
      <c r="C42" s="13" t="s">
        <v>814</v>
      </c>
      <c r="D42" s="3">
        <f>'Rekap Nilai'!AH6</f>
        <v>0</v>
      </c>
      <c r="E42" s="3">
        <f>'Rekap Nilai'!CC6</f>
        <v>0</v>
      </c>
      <c r="F42" s="14"/>
      <c r="G42" s="14"/>
    </row>
    <row r="43" spans="2:7" ht="15" customHeight="1" outlineLevel="1">
      <c r="B43" s="10" t="s">
        <v>815</v>
      </c>
      <c r="C43" s="10"/>
      <c r="D43" s="11" t="e">
        <f>'Rekap Nilai'!AN6</f>
        <v>#DIV/0!</v>
      </c>
      <c r="E43" s="11" t="e">
        <f>'Rekap Nilai'!CI6</f>
        <v>#DIV/0!</v>
      </c>
      <c r="F43" s="12" t="e">
        <f>+D43*E43</f>
        <v>#DIV/0!</v>
      </c>
      <c r="G43" s="12" t="e">
        <f>IF(F43&lt;3.1,"1",IF(F43&lt;5.1,"2",IF(F43&lt;10.1,"3",IF(F43&lt;16.01,"4",IF(F43&lt;25.1,"5")))))</f>
        <v>#DIV/0!</v>
      </c>
    </row>
    <row r="44" spans="2:7" ht="15" customHeight="1" outlineLevel="1">
      <c r="B44" s="13"/>
      <c r="C44" s="13" t="s">
        <v>816</v>
      </c>
      <c r="D44" s="3">
        <f>'Rekap Nilai'!AK6</f>
        <v>0</v>
      </c>
      <c r="E44" s="3">
        <f>'Rekap Nilai'!CF6</f>
        <v>0</v>
      </c>
      <c r="F44" s="14"/>
      <c r="G44" s="14"/>
    </row>
    <row r="45" spans="2:7" ht="15" customHeight="1" outlineLevel="1">
      <c r="B45" s="13"/>
      <c r="C45" s="13" t="s">
        <v>817</v>
      </c>
      <c r="D45" s="3">
        <f>'Rekap Nilai'!AL6</f>
        <v>0</v>
      </c>
      <c r="E45" s="3">
        <f>'Rekap Nilai'!CG6</f>
        <v>0</v>
      </c>
      <c r="F45" s="14"/>
      <c r="G45" s="14"/>
    </row>
    <row r="46" spans="2:7" ht="15" customHeight="1" outlineLevel="1">
      <c r="C46" s="13" t="s">
        <v>818</v>
      </c>
      <c r="D46" s="3">
        <f>'Rekap Nilai'!AM6</f>
        <v>0</v>
      </c>
      <c r="E46" s="3">
        <f>'Rekap Nilai'!CH6</f>
        <v>0</v>
      </c>
      <c r="F46" s="14"/>
      <c r="G46" s="14"/>
    </row>
    <row r="47" spans="2:7" ht="15" customHeight="1" outlineLevel="1">
      <c r="B47" s="283" t="s">
        <v>879</v>
      </c>
      <c r="C47" s="274"/>
      <c r="D47" s="277" t="e">
        <f>'Rekap Nilai'!AT6</f>
        <v>#DIV/0!</v>
      </c>
      <c r="E47" s="277" t="e">
        <f>'Rekap Nilai'!CO6</f>
        <v>#DIV/0!</v>
      </c>
      <c r="F47" s="275" t="e">
        <f>+D47*E47</f>
        <v>#DIV/0!</v>
      </c>
      <c r="G47" s="275" t="e">
        <f>IF(F47&lt;3.1,"1",IF(F47&lt;5.1,"2",IF(F47&lt;10.1,"3",IF(F47&lt;16.01,"4",IF(F47&lt;25.1,"5")))))</f>
        <v>#DIV/0!</v>
      </c>
    </row>
    <row r="48" spans="2:7" ht="15" customHeight="1" outlineLevel="1">
      <c r="C48" s="13" t="s">
        <v>868</v>
      </c>
      <c r="D48" s="276">
        <f>'Rekap Nilai'!AP6</f>
        <v>0</v>
      </c>
      <c r="E48" s="276">
        <f>'Rekap Nilai'!CK6</f>
        <v>0</v>
      </c>
      <c r="F48" s="14"/>
      <c r="G48" s="14"/>
    </row>
    <row r="49" spans="3:7" ht="15" customHeight="1" outlineLevel="1">
      <c r="C49" s="13" t="s">
        <v>869</v>
      </c>
      <c r="D49" s="276">
        <f>'Rekap Nilai'!AQ6</f>
        <v>0</v>
      </c>
      <c r="E49" s="276">
        <f>'Rekap Nilai'!CL6</f>
        <v>0</v>
      </c>
      <c r="F49" s="14"/>
      <c r="G49" s="14"/>
    </row>
    <row r="50" spans="3:7" ht="15" customHeight="1" outlineLevel="1">
      <c r="C50" s="13" t="s">
        <v>870</v>
      </c>
      <c r="D50" s="276">
        <f>'Rekap Nilai'!AR6</f>
        <v>0</v>
      </c>
      <c r="E50" s="276">
        <f>'Rekap Nilai'!CM6</f>
        <v>0</v>
      </c>
      <c r="F50" s="14"/>
      <c r="G50" s="14"/>
    </row>
    <row r="51" spans="3:7" ht="15" customHeight="1" outlineLevel="1">
      <c r="C51" s="13" t="s">
        <v>871</v>
      </c>
      <c r="D51" s="276">
        <f>'Rekap Nilai'!AS6</f>
        <v>0</v>
      </c>
      <c r="E51" s="276">
        <f>'Rekap Nilai'!CN6</f>
        <v>0</v>
      </c>
      <c r="F51" s="14"/>
      <c r="G51" s="14"/>
    </row>
  </sheetData>
  <pageMargins left="0.7" right="0.7" top="0.75" bottom="0.75" header="0.3" footer="0.3"/>
  <pageSetup paperSize="9" scale="48" fitToHeight="0" orientation="portrait" r:id="rId1"/>
  <customProperties>
    <customPr name="EpmWorksheetKeyString_GUID" r:id="rId2"/>
  </customProperties>
  <ignoredErrors>
    <ignoredError sqref="D37:E37"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751685602A69B49941147A16357C0D0" ma:contentTypeVersion="1" ma:contentTypeDescription="Create a new document." ma:contentTypeScope="" ma:versionID="b80b57a16c3c4071ada31e708eec7dd6">
  <xsd:schema xmlns:xsd="http://www.w3.org/2001/XMLSchema" xmlns:xs="http://www.w3.org/2001/XMLSchema" xmlns:p="http://schemas.microsoft.com/office/2006/metadata/properties" xmlns:ns1="http://schemas.microsoft.com/sharepoint/v3" targetNamespace="http://schemas.microsoft.com/office/2006/metadata/properties" ma:root="true" ma:fieldsID="55d3c2ff1dfae606d6f8168c38786798" ns1:_="">
    <xsd:import namespace="http://schemas.microsoft.com/sharepoint/v3"/>
    <xsd:element name="properties">
      <xsd:complexType>
        <xsd:sequence>
          <xsd:element name="documentManagement">
            <xsd:complexType>
              <xsd:all>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9DBCE353-E8D7-465A-9B4D-1E2456C30123}"/>
</file>

<file path=customXml/itemProps2.xml><?xml version="1.0" encoding="utf-8"?>
<ds:datastoreItem xmlns:ds="http://schemas.openxmlformats.org/officeDocument/2006/customXml" ds:itemID="{DB0DB39D-D23C-4498-AAE1-71312211A5CE}"/>
</file>

<file path=customXml/itemProps3.xml><?xml version="1.0" encoding="utf-8"?>
<ds:datastoreItem xmlns:ds="http://schemas.openxmlformats.org/officeDocument/2006/customXml" ds:itemID="{70FA8B64-CCC2-4AC8-BEE9-9511C253E4E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9</vt:i4>
      </vt:variant>
    </vt:vector>
  </HeadingPairs>
  <TitlesOfParts>
    <vt:vector size="19" baseType="lpstr">
      <vt:lpstr>1. Operasional</vt:lpstr>
      <vt:lpstr>2. Kredit</vt:lpstr>
      <vt:lpstr>3. Likuiditas</vt:lpstr>
      <vt:lpstr>4. Pasar</vt:lpstr>
      <vt:lpstr>5. Kepatuhan</vt:lpstr>
      <vt:lpstr>6. Reputasi</vt:lpstr>
      <vt:lpstr>7. Hukum</vt:lpstr>
      <vt:lpstr>8. Strategis</vt:lpstr>
      <vt:lpstr>Rekap Nilai</vt:lpstr>
      <vt:lpstr>12. Summary</vt:lpstr>
      <vt:lpstr>'1. Operasional'!Print_Area</vt:lpstr>
      <vt:lpstr>'12. Summary'!Print_Area</vt:lpstr>
      <vt:lpstr>'2. Kredit'!Print_Area</vt:lpstr>
      <vt:lpstr>'3. Likuiditas'!Print_Area</vt:lpstr>
      <vt:lpstr>'4. Pasar'!Print_Area</vt:lpstr>
      <vt:lpstr>'5. Kepatuhan'!Print_Area</vt:lpstr>
      <vt:lpstr>'6. Reputasi'!Print_Area</vt:lpstr>
      <vt:lpstr>'7. Hukum'!Print_Area</vt:lpstr>
      <vt:lpstr>'8. Strategis'!Print_Area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Sylvana Tiur</dc:creator>
  <cp:lastModifiedBy>DPSIAdm</cp:lastModifiedBy>
  <cp:lastPrinted>2017-03-14T10:07:00Z</cp:lastPrinted>
  <dcterms:created xsi:type="dcterms:W3CDTF">2016-05-10T01:37:00Z</dcterms:created>
  <dcterms:modified xsi:type="dcterms:W3CDTF">2021-09-16T08:06:17Z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1033-11.2.0.10094</vt:lpwstr>
  </property>
  <property fmtid="{D5CDD505-2E9C-101B-9397-08002B2CF9AE}" pid="3" name="ContentTypeId">
    <vt:lpwstr>0x0101008751685602A69B49941147A16357C0D0</vt:lpwstr>
  </property>
</Properties>
</file>